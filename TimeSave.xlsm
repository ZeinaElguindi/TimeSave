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activeX/activeX3.xml" ContentType="application/vnd.ms-office.activeX+xml"/>
  <Override PartName="/xl/activeX/activeX2.xml" ContentType="application/vnd.ms-office.activeX+xml"/>
  <Override PartName="/xl/activeX/activeX1.xml" ContentType="application/vnd.ms-office.activeX+xml"/>
  <Override PartName="/xl/activeX/activeX5.xml" ContentType="application/vnd.ms-office.activeX+xml"/>
  <Override PartName="/xl/activeX/activeX4.xml" ContentType="application/vnd.ms-office.activeX+xml"/>
  <Override PartName="/xl/activeX/activeX7.xml" ContentType="application/vnd.ms-office.activeX+xml"/>
  <Override PartName="/xl/activeX/activeX6.xml" ContentType="application/vnd.ms-office.activeX+xml"/>
  <Override PartName="/xl/activeX/activeX3.bin" ContentType="application/vnd.ms-office.activeX"/>
  <Override PartName="/xl/activeX/activeX2.bin" ContentType="application/vnd.ms-office.activeX"/>
  <Override PartName="/xl/activeX/activeX1.bin" ContentType="application/vnd.ms-office.activeX"/>
  <Override PartName="/xl/activeX/activeX5.bin" ContentType="application/vnd.ms-office.activeX"/>
  <Override PartName="/xl/activeX/activeX4.bin" ContentType="application/vnd.ms-office.activeX"/>
  <Override PartName="/xl/activeX/activeX7.bin" ContentType="application/vnd.ms-office.activeX"/>
  <Override PartName="/xl/activeX/activeX6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0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ofwaterloo-my.sharepoint.com/personal/m2khaial_uwaterloo_ca/Documents/"/>
    </mc:Choice>
  </mc:AlternateContent>
  <xr:revisionPtr revIDLastSave="0" documentId="8_{C7EC6D53-23EE-45EB-8310-D668D6A38D1F}" xr6:coauthVersionLast="47" xr6:coauthVersionMax="47" xr10:uidLastSave="{00000000-0000-0000-0000-000000000000}"/>
  <bookViews>
    <workbookView xWindow="-110" yWindow="-110" windowWidth="19420" windowHeight="12220" firstSheet="4" activeTab="4" xr2:uid="{FD174E94-885D-4FCF-88CD-3CDF37AB9FBF}"/>
  </bookViews>
  <sheets>
    <sheet name="Dashboard" sheetId="4" r:id="rId1"/>
    <sheet name="Sheet1" sheetId="7" state="hidden" r:id="rId2"/>
    <sheet name="Sheet2" sheetId="8" state="hidden" r:id="rId3"/>
    <sheet name="Sheet3" sheetId="9" state="hidden" r:id="rId4"/>
    <sheet name="Assignment Tracker" sheetId="6" r:id="rId5"/>
    <sheet name="Leisure" sheetId="2" r:id="rId6"/>
    <sheet name="Commute" sheetId="3" r:id="rId7"/>
  </sheets>
  <calcPr calcId="191028" calcCompleted="0"/>
  <pivotCaches>
    <pivotCache cacheId="139" r:id="rId8"/>
    <pivotCache cacheId="14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6" l="1" a="1"/>
  <c r="G3" i="6" s="1"/>
  <c r="G4" i="6" a="1"/>
  <c r="G4" i="6"/>
  <c r="G5" i="6" a="1"/>
  <c r="G5" i="6" s="1"/>
  <c r="G6" i="6" a="1"/>
  <c r="G6" i="6"/>
  <c r="G7" i="6" a="1"/>
  <c r="G7" i="6" s="1"/>
  <c r="G8" i="6" a="1"/>
  <c r="G8" i="6"/>
  <c r="G9" i="6" a="1"/>
  <c r="G9" i="6"/>
  <c r="G10" i="6" a="1"/>
  <c r="G10" i="6"/>
  <c r="G11" i="6" a="1"/>
  <c r="G11" i="6" s="1"/>
  <c r="G12" i="6" a="1"/>
  <c r="G12" i="6"/>
  <c r="G13" i="6" a="1"/>
  <c r="G13" i="6" s="1"/>
  <c r="G14" i="6" a="1"/>
  <c r="G14" i="6" s="1"/>
  <c r="G15" i="6" a="1"/>
  <c r="G15" i="6"/>
  <c r="G16" i="6" a="1"/>
  <c r="G16" i="6"/>
  <c r="K4" i="3"/>
  <c r="K5" i="3"/>
  <c r="K3" i="3"/>
  <c r="K2" i="3"/>
  <c r="K5" i="2"/>
  <c r="K4" i="2"/>
  <c r="K3" i="2"/>
  <c r="K2" i="2"/>
  <c r="G2" i="6" a="1"/>
  <c r="G2" i="6"/>
  <c r="W5" i="6"/>
  <c r="W6" i="6"/>
  <c r="W2" i="6"/>
  <c r="W3" i="6"/>
  <c r="W4" i="6"/>
  <c r="G5" i="3" l="1"/>
  <c r="G3" i="3"/>
  <c r="G2" i="3"/>
  <c r="G4" i="3"/>
  <c r="B2" i="3"/>
  <c r="H4" i="3"/>
  <c r="H3" i="3"/>
  <c r="H2" i="3"/>
  <c r="H5" i="3"/>
  <c r="C3" i="3"/>
  <c r="C5" i="3"/>
  <c r="C2" i="3"/>
  <c r="C4" i="3"/>
  <c r="E3" i="3"/>
  <c r="E2" i="3"/>
  <c r="E4" i="3"/>
  <c r="D3" i="3"/>
  <c r="D5" i="3"/>
  <c r="D2" i="3"/>
  <c r="D4" i="3"/>
  <c r="F3" i="3"/>
  <c r="F4" i="3"/>
  <c r="F2" i="3"/>
  <c r="F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<sst xmlns="http://schemas.openxmlformats.org/spreadsheetml/2006/main" count="150" uniqueCount="76">
  <si>
    <t>Overview Dashboard</t>
  </si>
  <si>
    <t>Key Metrics</t>
  </si>
  <si>
    <t>Time Management Advice</t>
  </si>
  <si>
    <t>Goal Overview</t>
  </si>
  <si>
    <t>Pomodero</t>
  </si>
  <si>
    <t>Row Labels</t>
  </si>
  <si>
    <t>Sum of Total Assignments</t>
  </si>
  <si>
    <t>Week 1</t>
  </si>
  <si>
    <t>Week 10</t>
  </si>
  <si>
    <t>Week 11</t>
  </si>
  <si>
    <t>Week 12</t>
  </si>
  <si>
    <t>Week 13</t>
  </si>
  <si>
    <t>Week 14</t>
  </si>
  <si>
    <t>Week 15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</si>
  <si>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</si>
  <si>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</si>
  <si>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</si>
  <si>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</si>
  <si>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</si>
  <si>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</si>
  <si>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</si>
  <si>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</si>
  <si>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Grand Total</t>
  </si>
  <si>
    <t>Sum of Completed Hours</t>
  </si>
  <si>
    <t>Column Labels</t>
  </si>
  <si>
    <t>High</t>
  </si>
  <si>
    <t>Low</t>
  </si>
  <si>
    <t>Medium</t>
  </si>
  <si>
    <t>Chemistry</t>
  </si>
  <si>
    <t>Math 115</t>
  </si>
  <si>
    <t>Math 116</t>
  </si>
  <si>
    <t>MSCI</t>
  </si>
  <si>
    <t>Physics</t>
  </si>
  <si>
    <t>Count of Assignment Name</t>
  </si>
  <si>
    <t>Week</t>
  </si>
  <si>
    <t>Total Assignments</t>
  </si>
  <si>
    <t>Completed Assignments</t>
  </si>
  <si>
    <t>Subject</t>
  </si>
  <si>
    <t>Assignment Name</t>
  </si>
  <si>
    <t>Priority</t>
  </si>
  <si>
    <t>Due Date (dd/mm/yy)</t>
  </si>
  <si>
    <t>Remaining Hours</t>
  </si>
  <si>
    <t>Est Time</t>
  </si>
  <si>
    <t>Completed Hours</t>
  </si>
  <si>
    <t>Progress</t>
  </si>
  <si>
    <t>Mobius</t>
  </si>
  <si>
    <t>168 hours left</t>
  </si>
  <si>
    <t>Vectors</t>
  </si>
  <si>
    <t>0 hours left</t>
  </si>
  <si>
    <t>Time Management Lab</t>
  </si>
  <si>
    <t>24 hours left</t>
  </si>
  <si>
    <t>Torque</t>
  </si>
  <si>
    <t>96 hours left</t>
  </si>
  <si>
    <t>Integrals</t>
  </si>
  <si>
    <t>15/11/23</t>
  </si>
  <si>
    <t>VBA Lab</t>
  </si>
  <si>
    <t>23 hours</t>
  </si>
  <si>
    <t>Activity</t>
  </si>
  <si>
    <t>Monday</t>
  </si>
  <si>
    <t>Tuesday</t>
  </si>
  <si>
    <t>Wednesday</t>
  </si>
  <si>
    <t>Thursday</t>
  </si>
  <si>
    <t>Friday</t>
  </si>
  <si>
    <t>Saturday</t>
  </si>
  <si>
    <t>Sunday</t>
  </si>
  <si>
    <t>Total Hours</t>
  </si>
  <si>
    <t>Family Time</t>
  </si>
  <si>
    <t>movies</t>
  </si>
  <si>
    <t>Movies</t>
  </si>
  <si>
    <t>Watching</t>
  </si>
  <si>
    <t>Shopping</t>
  </si>
  <si>
    <t>Commute Destination</t>
  </si>
  <si>
    <t>Work</t>
  </si>
  <si>
    <t>School</t>
  </si>
  <si>
    <t>Home</t>
  </si>
  <si>
    <t>Gym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</si>
</sst>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Times New Roman"/>
      <family val="1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1"/>
      <color theme="2" tint="-0.8999908444471571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4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EA6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F3300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rgb="FF92D050"/>
      </left>
      <right/>
      <top style="thick">
        <color rgb="FF92D050"/>
      </top>
      <bottom/>
      <diagonal/>
    </border>
    <border>
      <left/>
      <right/>
      <top style="thick">
        <color rgb="FF92D050"/>
      </top>
      <bottom/>
      <diagonal/>
    </border>
    <border>
      <left/>
      <right style="thick">
        <color rgb="FF92D050"/>
      </right>
      <top style="thick">
        <color rgb="FF92D050"/>
      </top>
      <bottom/>
      <diagonal/>
    </border>
    <border>
      <left style="thick">
        <color rgb="FF92D050"/>
      </left>
      <right/>
      <top/>
      <bottom/>
      <diagonal/>
    </border>
    <border>
      <left/>
      <right/>
      <top/>
      <bottom style="thick">
        <color rgb="FF92D050"/>
      </bottom>
      <diagonal/>
    </border>
    <border>
      <left/>
      <right style="thick">
        <color rgb="FF92D050"/>
      </right>
      <top/>
      <bottom/>
      <diagonal/>
    </border>
    <border>
      <left style="thick">
        <color theme="5" tint="0.39994506668294322"/>
      </left>
      <right style="thick">
        <color theme="5" tint="0.39994506668294322"/>
      </right>
      <top/>
      <bottom/>
      <diagonal/>
    </border>
    <border>
      <left/>
      <right/>
      <top/>
      <bottom style="thick">
        <color theme="5" tint="0.39994506668294322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 style="thick">
        <color theme="5" tint="0.39994506668294322"/>
      </left>
      <right/>
      <top/>
      <bottom/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/>
      <right style="thick">
        <color theme="5" tint="0.39994506668294322"/>
      </right>
      <top/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/>
      <right style="thick">
        <color rgb="FFFF0000"/>
      </right>
      <top/>
      <bottom/>
      <diagonal/>
    </border>
    <border>
      <left style="thick">
        <color rgb="FF92D050"/>
      </left>
      <right/>
      <top/>
      <bottom style="thick">
        <color theme="5" tint="0.39994506668294322"/>
      </bottom>
      <diagonal/>
    </border>
    <border>
      <left/>
      <right style="thick">
        <color rgb="FF92D050"/>
      </right>
      <top/>
      <bottom style="thick">
        <color theme="5" tint="0.39994506668294322"/>
      </bottom>
      <diagonal/>
    </border>
    <border>
      <left style="thick">
        <color theme="9"/>
      </left>
      <right/>
      <top style="thick">
        <color theme="9"/>
      </top>
      <bottom/>
      <diagonal/>
    </border>
    <border>
      <left/>
      <right/>
      <top style="thick">
        <color theme="9"/>
      </top>
      <bottom/>
      <diagonal/>
    </border>
    <border>
      <left/>
      <right style="thick">
        <color theme="9"/>
      </right>
      <top style="thick">
        <color theme="9"/>
      </top>
      <bottom/>
      <diagonal/>
    </border>
    <border>
      <left style="thick">
        <color theme="9"/>
      </left>
      <right/>
      <top/>
      <bottom/>
      <diagonal/>
    </border>
    <border>
      <left/>
      <right style="thick">
        <color theme="9"/>
      </right>
      <top/>
      <bottom/>
      <diagonal/>
    </border>
    <border>
      <left style="thick">
        <color theme="9"/>
      </left>
      <right/>
      <top/>
      <bottom style="thick">
        <color theme="9"/>
      </bottom>
      <diagonal/>
    </border>
    <border>
      <left/>
      <right/>
      <top/>
      <bottom style="thick">
        <color theme="9"/>
      </bottom>
      <diagonal/>
    </border>
    <border>
      <left/>
      <right style="thick">
        <color theme="9"/>
      </right>
      <top/>
      <bottom style="thick">
        <color theme="9"/>
      </bottom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4" borderId="9" xfId="0" applyFill="1" applyBorder="1"/>
    <xf numFmtId="0" fontId="0" fillId="4" borderId="10" xfId="0" applyFill="1" applyBorder="1"/>
    <xf numFmtId="0" fontId="0" fillId="5" borderId="0" xfId="0" applyFill="1"/>
    <xf numFmtId="0" fontId="0" fillId="4" borderId="12" xfId="0" applyFill="1" applyBorder="1"/>
    <xf numFmtId="0" fontId="0" fillId="5" borderId="11" xfId="0" applyFill="1" applyBorder="1"/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6" xfId="0" applyFill="1" applyBorder="1"/>
    <xf numFmtId="0" fontId="0" fillId="4" borderId="17" xfId="0" applyFill="1" applyBorder="1"/>
    <xf numFmtId="0" fontId="0" fillId="5" borderId="18" xfId="0" applyFill="1" applyBorder="1"/>
    <xf numFmtId="0" fontId="0" fillId="5" borderId="19" xfId="0" applyFill="1" applyBorder="1"/>
    <xf numFmtId="0" fontId="0" fillId="4" borderId="0" xfId="0" applyFill="1"/>
    <xf numFmtId="14" fontId="0" fillId="0" borderId="0" xfId="0" applyNumberFormat="1"/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0" fillId="2" borderId="0" xfId="0" applyFill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shrinkToFit="1"/>
    </xf>
    <xf numFmtId="1" fontId="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/>
    <xf numFmtId="9" fontId="3" fillId="0" borderId="0" xfId="1" applyFont="1" applyAlignment="1">
      <alignment horizontal="center" vertical="center"/>
    </xf>
    <xf numFmtId="9" fontId="9" fillId="0" borderId="0" xfId="1" applyFont="1" applyAlignment="1">
      <alignment horizontal="center" vertical="center"/>
    </xf>
    <xf numFmtId="0" fontId="0" fillId="11" borderId="0" xfId="0" applyFill="1"/>
    <xf numFmtId="0" fontId="5" fillId="0" borderId="0" xfId="0" applyFont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1" xfId="0" applyBorder="1" applyAlignment="1">
      <alignment horizontal="center"/>
    </xf>
    <xf numFmtId="21" fontId="10" fillId="0" borderId="22" xfId="0" applyNumberFormat="1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66"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bottom style="thin">
          <color auto="1"/>
        </bottom>
      </border>
    </dxf>
    <dxf>
      <border outline="0">
        <top style="thin">
          <color auto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ill>
        <gradientFill degree="90">
          <stop position="0">
            <color theme="0"/>
          </stop>
          <stop position="1">
            <color rgb="FFAA4BBD"/>
          </stop>
        </gradientFill>
      </fill>
    </dxf>
    <dxf>
      <fill>
        <gradientFill degree="90">
          <stop position="0">
            <color theme="0"/>
          </stop>
          <stop position="1">
            <color rgb="FFEE1AD5"/>
          </stop>
        </gradientFill>
      </fill>
    </dxf>
    <dxf>
      <fill>
        <gradientFill degree="90">
          <stop position="0">
            <color theme="0"/>
          </stop>
          <stop position="1">
            <color rgb="FF1AEEEE"/>
          </stop>
        </gradientFill>
      </fill>
    </dxf>
    <dxf>
      <font>
        <b/>
        <i val="0"/>
      </font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0"/>
          </stop>
          <stop position="1">
            <color rgb="FFCB3D3D"/>
          </stop>
        </gradientFill>
      </fill>
    </dxf>
    <dxf>
      <font>
        <color theme="4"/>
      </font>
      <fill>
        <patternFill>
          <bgColor theme="7"/>
        </patternFill>
      </fill>
    </dxf>
    <dxf>
      <fill>
        <gradientFill degree="90">
          <stop position="0">
            <color theme="0"/>
          </stop>
          <stop position="1">
            <color rgb="FFCB3D3D"/>
          </stop>
        </gradientFill>
      </fill>
    </dxf>
    <dxf>
      <font>
        <color theme="4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</border>
    </dxf>
    <dxf>
      <font>
        <b val="0"/>
        <i val="0"/>
        <color theme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rgb="FFFF3300"/>
        </patternFill>
      </fill>
      <border diagonalUp="0" diagonalDown="0">
        <left/>
        <right/>
        <top/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Calendar style" pivot="0" count="2" xr9:uid="{1EB0030C-4F4D-4979-A40B-DD669E221A64}">
      <tableStyleElement type="wholeTable" dxfId="65"/>
      <tableStyleElement type="headerRow" dxfId="64"/>
    </tableStyle>
    <tableStyle name="Table Style 1" pivot="0" count="3" xr9:uid="{11785403-DE67-4B28-8D32-8647E25C7359}">
      <tableStyleElement type="wholeTable" dxfId="63"/>
      <tableStyleElement type="headerRow" dxfId="62"/>
      <tableStyleElement type="firstColumn" dxfId="61"/>
    </tableStyle>
  </tableStyles>
  <colors>
    <mruColors>
      <color rgb="FFFF3300"/>
      <color rgb="FF1AEEEE"/>
      <color rgb="FFEE1AD5"/>
      <color rgb="FFAA4BBD"/>
      <color rgb="FFCB3D3D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bg1"/>
                </a:solidFill>
              </a:rPr>
              <a:t>Assignement</a:t>
            </a:r>
            <a:r>
              <a:rPr lang="en-US" sz="1600" b="1" baseline="0">
                <a:solidFill>
                  <a:schemeClr val="bg1"/>
                </a:solidFill>
              </a:rPr>
              <a:t> Progress</a:t>
            </a:r>
            <a:endParaRPr lang="en-US" sz="1600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'Assignment Tracker'!$W$1</c:f>
              <c:strCache>
                <c:ptCount val="1"/>
                <c:pt idx="0">
                  <c:v>Progress</c:v>
                </c:pt>
              </c:strCache>
            </c:strRef>
          </c:tx>
          <c:spPr>
            <a:noFill/>
            <a:ln w="25400">
              <a:solidFill>
                <a:schemeClr val="accent6">
                  <a:lumMod val="60000"/>
                  <a:lumOff val="40000"/>
                </a:schemeClr>
              </a:solidFill>
            </a:ln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</c:spPr>
          <c:invertIfNegative val="0"/>
          <c:dPt>
            <c:idx val="2"/>
            <c:invertIfNegative val="0"/>
            <c:bubble3D val="0"/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>
                <a:glow rad="165100">
                  <a:schemeClr val="accent6">
                    <a:satMod val="175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7698-4FE0-89CC-2FDF8C06CD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'Assignment Tracker'!$Q$2:$Q$16</c:f>
              <c:strCache>
                <c:ptCount val="6"/>
                <c:pt idx="0">
                  <c:v>Mobius</c:v>
                </c:pt>
                <c:pt idx="1">
                  <c:v>Vectors</c:v>
                </c:pt>
                <c:pt idx="2">
                  <c:v>Time Management Lab</c:v>
                </c:pt>
                <c:pt idx="3">
                  <c:v>Torque</c:v>
                </c:pt>
                <c:pt idx="4">
                  <c:v>Integrals</c:v>
                </c:pt>
                <c:pt idx="5">
                  <c:v>VBA Lab</c:v>
                </c:pt>
              </c:strCache>
            </c:strRef>
          </c:cat>
          <c:val>
            <c:numRef>
              <c:f>'Assignment Tracker'!$W$2:$W$16</c:f>
              <c:numCache>
                <c:formatCode>0%</c:formatCode>
                <c:ptCount val="15"/>
                <c:pt idx="0">
                  <c:v>0.8</c:v>
                </c:pt>
                <c:pt idx="1">
                  <c:v>8.6956521739130432E-2</c:v>
                </c:pt>
                <c:pt idx="2">
                  <c:v>0.1111111111111111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98-4FE0-89CC-2FDF8C06C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07945263"/>
        <c:axId val="1790926975"/>
      </c:barChart>
      <c:catAx>
        <c:axId val="18079452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0926975"/>
        <c:crosses val="autoZero"/>
        <c:auto val="1"/>
        <c:lblAlgn val="ctr"/>
        <c:lblOffset val="100"/>
        <c:noMultiLvlLbl val="0"/>
      </c:catAx>
      <c:valAx>
        <c:axId val="1790926975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7945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>
      <a:gsLst>
        <a:gs pos="0">
          <a:schemeClr val="accent6"/>
        </a:gs>
        <a:gs pos="72000">
          <a:schemeClr val="tx1">
            <a:lumMod val="95000"/>
            <a:lumOff val="5000"/>
          </a:schemeClr>
        </a:gs>
        <a:gs pos="83000">
          <a:schemeClr val="tx1">
            <a:lumMod val="95000"/>
            <a:lumOff val="5000"/>
          </a:schemeClr>
        </a:gs>
        <a:gs pos="100000">
          <a:schemeClr val="bg2">
            <a:lumMod val="10000"/>
          </a:schemeClr>
        </a:gs>
      </a:gsLst>
      <a:lin ang="5400000" scaled="1"/>
    </a:gra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[TIme Management Project.xlsm]Sheet1!PivotTable3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Assignment Distribution</a:t>
            </a:r>
            <a:r>
              <a:rPr lang="en-US" baseline="0"/>
              <a:t> By Week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A7A-4954-A36D-283AB606705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A7A-4954-A36D-283AB606705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A7A-4954-A36D-283AB606705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A7A-4954-A36D-283AB606705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A7A-4954-A36D-283AB606705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A7A-4954-A36D-283AB606705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1A7A-4954-A36D-283AB606705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1A7A-4954-A36D-283AB606705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1A7A-4954-A36D-283AB606705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1A7A-4954-A36D-283AB606705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1A7A-4954-A36D-283AB606705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1A7A-4954-A36D-283AB606705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1A7A-4954-A36D-283AB606705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1A7A-4954-A36D-283AB606705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1A7A-4954-A36D-283AB606705F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Sheet1!$A$4:$A$19</c:f>
              <c:strCache>
                <c:ptCount val="15"/>
                <c:pt idx="0">
                  <c:v>Week 1</c:v>
                </c:pt>
                <c:pt idx="1">
                  <c:v>Week 10</c:v>
                </c:pt>
                <c:pt idx="2">
                  <c:v>Week 11</c:v>
                </c:pt>
                <c:pt idx="3">
                  <c:v>Week 12</c:v>
                </c:pt>
                <c:pt idx="4">
                  <c:v>Week 13</c:v>
                </c:pt>
                <c:pt idx="5">
                  <c:v>Week 14</c:v>
                </c:pt>
                <c:pt idx="6">
                  <c:v>Week 15</c:v>
                </c:pt>
                <c:pt idx="7">
                  <c:v>Week 2</c:v>
                </c:pt>
                <c:pt idx="8">
                  <c:v>Week 3</c:v>
                </c:pt>
                <c:pt idx="9">
                  <c:v>Week 4</c:v>
                </c:pt>
                <c:pt idx="10">
                  <c:v>Week 5</c:v>
                </c:pt>
                <c:pt idx="11">
                  <c:v>Week 6</c:v>
                </c:pt>
                <c:pt idx="12">
                  <c:v>Week 7</c:v>
                </c:pt>
                <c:pt idx="13">
                  <c:v>Week 8</c:v>
                </c:pt>
                <c:pt idx="14">
                  <c:v>Week 9</c:v>
                </c:pt>
              </c:strCache>
            </c:strRef>
          </c:cat>
          <c:val>
            <c:numRef>
              <c:f>Sheet1!$B$4:$B$19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A7A-4954-A36D-283AB606705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2">
            <a:lumMod val="60000"/>
            <a:lumOff val="40000"/>
          </a:schemeClr>
        </a:gs>
        <a:gs pos="82000">
          <a:schemeClr val="accent1">
            <a:lumMod val="60000"/>
            <a:lumOff val="40000"/>
          </a:schemeClr>
        </a:gs>
      </a:gsLst>
      <a:lin ang="5400000" scaled="1"/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[TIme Management Project.xlsm]Sheet2!PivotTable5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Subject and Priority Analysis of Completed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hade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hade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shade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>
                  <a:shade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tint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tint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tint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>
                  <a:tint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Sheet2!$A$5:$A$10</c:f>
              <c:strCache>
                <c:ptCount val="5"/>
                <c:pt idx="0">
                  <c:v>Chemistry</c:v>
                </c:pt>
                <c:pt idx="1">
                  <c:v>Math 115</c:v>
                </c:pt>
                <c:pt idx="2">
                  <c:v>Math 116</c:v>
                </c:pt>
                <c:pt idx="3">
                  <c:v>MSCI</c:v>
                </c:pt>
                <c:pt idx="4">
                  <c:v>Physics</c:v>
                </c:pt>
              </c:strCache>
            </c:strRef>
          </c:cat>
          <c:val>
            <c:numRef>
              <c:f>Sheet2!$B$5:$B$10</c:f>
              <c:numCache>
                <c:formatCode>General</c:formatCode>
                <c:ptCount val="5"/>
                <c:pt idx="0">
                  <c:v>4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82-4197-B786-497F01F119FA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Low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Sheet2!$A$5:$A$10</c:f>
              <c:strCache>
                <c:ptCount val="5"/>
                <c:pt idx="0">
                  <c:v>Chemistry</c:v>
                </c:pt>
                <c:pt idx="1">
                  <c:v>Math 115</c:v>
                </c:pt>
                <c:pt idx="2">
                  <c:v>Math 116</c:v>
                </c:pt>
                <c:pt idx="3">
                  <c:v>MSCI</c:v>
                </c:pt>
                <c:pt idx="4">
                  <c:v>Physics</c:v>
                </c:pt>
              </c:strCache>
            </c:strRef>
          </c:cat>
          <c:val>
            <c:numRef>
              <c:f>Sheet2!$C$5:$C$10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2182-4197-B786-497F01F119FA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Sheet2!$A$5:$A$10</c:f>
              <c:strCache>
                <c:ptCount val="5"/>
                <c:pt idx="0">
                  <c:v>Chemistry</c:v>
                </c:pt>
                <c:pt idx="1">
                  <c:v>Math 115</c:v>
                </c:pt>
                <c:pt idx="2">
                  <c:v>Math 116</c:v>
                </c:pt>
                <c:pt idx="3">
                  <c:v>MSCI</c:v>
                </c:pt>
                <c:pt idx="4">
                  <c:v>Physics</c:v>
                </c:pt>
              </c:strCache>
            </c:strRef>
          </c:cat>
          <c:val>
            <c:numRef>
              <c:f>Sheet2!$D$5:$D$10</c:f>
              <c:numCache>
                <c:formatCode>General</c:formatCode>
                <c:ptCount val="5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82-4197-B786-497F01F11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45318431"/>
        <c:axId val="1637224239"/>
        <c:axId val="0"/>
      </c:bar3DChart>
      <c:catAx>
        <c:axId val="19453184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Subject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224239"/>
        <c:crosses val="autoZero"/>
        <c:auto val="1"/>
        <c:lblAlgn val="ctr"/>
        <c:lblOffset val="100"/>
        <c:noMultiLvlLbl val="0"/>
      </c:catAx>
      <c:valAx>
        <c:axId val="1637224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318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431350037513637"/>
          <c:y val="0.31125524007883026"/>
          <c:w val="0.1675171215753434"/>
          <c:h val="0.32752278798515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2">
            <a:lumMod val="60000"/>
            <a:lumOff val="40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[TIme Management Project.xlsm]Sheet3!PivotTable7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Assignment Distribution by Subject and Priority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C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C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Sheet3!$B$3:$B$4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Sheet3!$A$5:$A$10</c:f>
              <c:strCache>
                <c:ptCount val="5"/>
                <c:pt idx="0">
                  <c:v>Chemistry</c:v>
                </c:pt>
                <c:pt idx="1">
                  <c:v>Math 115</c:v>
                </c:pt>
                <c:pt idx="2">
                  <c:v>Math 116</c:v>
                </c:pt>
                <c:pt idx="3">
                  <c:v>MSCI</c:v>
                </c:pt>
                <c:pt idx="4">
                  <c:v>Physics</c:v>
                </c:pt>
              </c:strCache>
            </c:strRef>
          </c:cat>
          <c:val>
            <c:numRef>
              <c:f>Sheet3!$B$5:$B$10</c:f>
              <c:numCache>
                <c:formatCode>General</c:formatCode>
                <c:ptCount val="5"/>
                <c:pt idx="0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1C-4348-93B6-F940B979C0A5}"/>
            </c:ext>
          </c:extLst>
        </c:ser>
        <c:ser>
          <c:idx val="1"/>
          <c:order val="1"/>
          <c:tx>
            <c:strRef>
              <c:f>Sheet3!$C$3:$C$4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Sheet3!$A$5:$A$10</c:f>
              <c:strCache>
                <c:ptCount val="5"/>
                <c:pt idx="0">
                  <c:v>Chemistry</c:v>
                </c:pt>
                <c:pt idx="1">
                  <c:v>Math 115</c:v>
                </c:pt>
                <c:pt idx="2">
                  <c:v>Math 116</c:v>
                </c:pt>
                <c:pt idx="3">
                  <c:v>MSCI</c:v>
                </c:pt>
                <c:pt idx="4">
                  <c:v>Physics</c:v>
                </c:pt>
              </c:strCache>
            </c:strRef>
          </c:cat>
          <c:val>
            <c:numRef>
              <c:f>Sheet3!$C$5:$C$10</c:f>
              <c:numCache>
                <c:formatCode>General</c:formatCode>
                <c:ptCount val="5"/>
                <c:pt idx="2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1C-4348-93B6-F940B979C0A5}"/>
            </c:ext>
          </c:extLst>
        </c:ser>
        <c:ser>
          <c:idx val="2"/>
          <c:order val="2"/>
          <c:tx>
            <c:strRef>
              <c:f>Sheet3!$D$3:$D$4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Sheet3!$A$5:$A$10</c:f>
              <c:strCache>
                <c:ptCount val="5"/>
                <c:pt idx="0">
                  <c:v>Chemistry</c:v>
                </c:pt>
                <c:pt idx="1">
                  <c:v>Math 115</c:v>
                </c:pt>
                <c:pt idx="2">
                  <c:v>Math 116</c:v>
                </c:pt>
                <c:pt idx="3">
                  <c:v>MSCI</c:v>
                </c:pt>
                <c:pt idx="4">
                  <c:v>Physics</c:v>
                </c:pt>
              </c:strCache>
            </c:strRef>
          </c:cat>
          <c:val>
            <c:numRef>
              <c:f>Sheet3!$D$5:$D$10</c:f>
              <c:numCache>
                <c:formatCode>General</c:formatCode>
                <c:ptCount val="5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1C-4348-93B6-F940B979C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35782879"/>
        <c:axId val="1790947807"/>
        <c:axId val="0"/>
      </c:bar3DChart>
      <c:catAx>
        <c:axId val="1635782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SUbject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0947807"/>
        <c:crosses val="autoZero"/>
        <c:auto val="1"/>
        <c:lblAlgn val="ctr"/>
        <c:lblOffset val="100"/>
        <c:noMultiLvlLbl val="0"/>
      </c:catAx>
      <c:valAx>
        <c:axId val="1790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Number Of Assignments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5782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701593491205301"/>
          <c:y val="0.33674310724186407"/>
          <c:w val="0.19659573700300961"/>
          <c:h val="0.301642971711869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2">
            <a:lumMod val="60000"/>
            <a:lumOff val="40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3186</xdr:colOff>
      <xdr:row>17</xdr:row>
      <xdr:rowOff>6709</xdr:rowOff>
    </xdr:from>
    <xdr:to>
      <xdr:col>14</xdr:col>
      <xdr:colOff>8581</xdr:colOff>
      <xdr:row>31</xdr:row>
      <xdr:rowOff>163041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</xdr:row>
      <xdr:rowOff>10383</xdr:rowOff>
    </xdr:from>
    <xdr:to>
      <xdr:col>7</xdr:col>
      <xdr:colOff>17162</xdr:colOff>
      <xdr:row>16</xdr:row>
      <xdr:rowOff>34324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21283</xdr:colOff>
      <xdr:row>2</xdr:row>
      <xdr:rowOff>4978</xdr:rowOff>
    </xdr:from>
    <xdr:to>
      <xdr:col>14</xdr:col>
      <xdr:colOff>25744</xdr:colOff>
      <xdr:row>16</xdr:row>
      <xdr:rowOff>8581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8580</xdr:colOff>
      <xdr:row>1</xdr:row>
      <xdr:rowOff>236667</xdr:rowOff>
    </xdr:from>
    <xdr:to>
      <xdr:col>21</xdr:col>
      <xdr:colOff>10982</xdr:colOff>
      <xdr:row>15</xdr:row>
      <xdr:rowOff>171622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180204</xdr:colOff>
      <xdr:row>16</xdr:row>
      <xdr:rowOff>248853</xdr:rowOff>
    </xdr:from>
    <xdr:to>
      <xdr:col>5</xdr:col>
      <xdr:colOff>523447</xdr:colOff>
      <xdr:row>32</xdr:row>
      <xdr:rowOff>8582</xdr:rowOff>
    </xdr:to>
    <xdr:pic macro="[0]!StudyAdvice"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461" y="3320880"/>
          <a:ext cx="2780270" cy="27802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27</xdr:row>
          <xdr:rowOff>0</xdr:rowOff>
        </xdr:from>
        <xdr:to>
          <xdr:col>20</xdr:col>
          <xdr:colOff>603250</xdr:colOff>
          <xdr:row>29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Stop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</xdr:colOff>
          <xdr:row>27</xdr:row>
          <xdr:rowOff>0</xdr:rowOff>
        </xdr:from>
        <xdr:to>
          <xdr:col>16</xdr:col>
          <xdr:colOff>603250</xdr:colOff>
          <xdr:row>30</xdr:row>
          <xdr:rowOff>6350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Timer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44450</xdr:colOff>
          <xdr:row>10</xdr:row>
          <xdr:rowOff>25400</xdr:rowOff>
        </xdr:from>
        <xdr:to>
          <xdr:col>12</xdr:col>
          <xdr:colOff>584200</xdr:colOff>
          <xdr:row>12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</xdr:colOff>
          <xdr:row>2</xdr:row>
          <xdr:rowOff>19050</xdr:rowOff>
        </xdr:from>
        <xdr:to>
          <xdr:col>12</xdr:col>
          <xdr:colOff>590550</xdr:colOff>
          <xdr:row>3</xdr:row>
          <xdr:rowOff>393700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381000</xdr:rowOff>
        </xdr:from>
        <xdr:to>
          <xdr:col>13</xdr:col>
          <xdr:colOff>12700</xdr:colOff>
          <xdr:row>6</xdr:row>
          <xdr:rowOff>400050</xdr:rowOff>
        </xdr:to>
        <xdr:sp macro="" textlink="">
          <xdr:nvSpPr>
            <xdr:cNvPr id="7173" name="CommandButton2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6350</xdr:rowOff>
        </xdr:from>
        <xdr:to>
          <xdr:col>13</xdr:col>
          <xdr:colOff>12700</xdr:colOff>
          <xdr:row>8</xdr:row>
          <xdr:rowOff>38100</xdr:rowOff>
        </xdr:to>
        <xdr:sp macro="" textlink="">
          <xdr:nvSpPr>
            <xdr:cNvPr id="7175" name="CommandButton3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6</xdr:row>
          <xdr:rowOff>107950</xdr:rowOff>
        </xdr:from>
        <xdr:to>
          <xdr:col>10</xdr:col>
          <xdr:colOff>3175</xdr:colOff>
          <xdr:row>9</xdr:row>
          <xdr:rowOff>12700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10</xdr:row>
          <xdr:rowOff>50800</xdr:rowOff>
        </xdr:from>
        <xdr:to>
          <xdr:col>9</xdr:col>
          <xdr:colOff>1289050</xdr:colOff>
          <xdr:row>12</xdr:row>
          <xdr:rowOff>152400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584200</xdr:colOff>
          <xdr:row>6</xdr:row>
          <xdr:rowOff>0</xdr:rowOff>
        </xdr:from>
        <xdr:to>
          <xdr:col>11</xdr:col>
          <xdr:colOff>50800</xdr:colOff>
          <xdr:row>8</xdr:row>
          <xdr:rowOff>88900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127000</xdr:rowOff>
        </xdr:from>
        <xdr:to>
          <xdr:col>11</xdr:col>
          <xdr:colOff>38100</xdr:colOff>
          <xdr:row>12</xdr:row>
          <xdr:rowOff>50800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6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i Khaial" refreshedDate="45265.881005208335" createdVersion="8" refreshedVersion="8" minRefreshableVersion="3" recordCount="15" xr:uid="{DAFC7B40-C2D2-4A28-AF1C-C32679355708}">
  <cacheSource type="worksheet">
    <worksheetSource name="AssignmentProgress"/>
  </cacheSource>
  <cacheFields count="8">
    <cacheField name="Week" numFmtId="0">
      <sharedItems count="15">
        <s v="Week 1"/>
        <s v="Week 2"/>
        <s v="Week 3"/>
        <s v="Week 4"/>
        <s v="Week 5"/>
        <s v="Week 6"/>
        <s v="Week 7"/>
        <s v="Week 8"/>
        <s v="Week 9"/>
        <s v="Week 10"/>
        <s v="Week 11"/>
        <s v="Week 12"/>
        <s v="Week 13"/>
        <s v="Week 14"/>
        <s v="Week 15"/>
      </sharedItems>
    </cacheField>
    <cacheField name="Chemistry" numFmtId="0">
      <sharedItems containsBlank="1"/>
    </cacheField>
    <cacheField name="Math 115" numFmtId="0">
      <sharedItems containsBlank="1"/>
    </cacheField>
    <cacheField name="Math 116" numFmtId="0">
      <sharedItems containsBlank="1"/>
    </cacheField>
    <cacheField name="MSCI" numFmtId="0">
      <sharedItems containsBlank="1" count="2">
        <m/>
        <s v="Time Management Lab"/>
      </sharedItems>
    </cacheField>
    <cacheField name="Physics" numFmtId="0">
      <sharedItems containsBlank="1" count="2">
        <m/>
        <s v="Torque"/>
      </sharedItems>
    </cacheField>
    <cacheField name="Total Assignments" numFmtId="0">
      <sharedItems containsSemiMixedTypes="0" containsString="0" containsNumber="1" containsInteger="1" minValue="0" maxValue="2" count="3">
        <n v="0"/>
        <n v="1"/>
        <n v="2"/>
      </sharedItems>
    </cacheField>
    <cacheField name="Completed Assignment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i Khaial" refreshedDate="45265.887339930552" createdVersion="8" refreshedVersion="8" minRefreshableVersion="3" recordCount="5" xr:uid="{79CA0098-7230-4481-9DF1-8AD58094CED2}">
  <cacheSource type="worksheet">
    <worksheetSource name="AssignmentTimeTable"/>
  </cacheSource>
  <cacheFields count="8">
    <cacheField name="Subject" numFmtId="0">
      <sharedItems count="5">
        <s v="Chemistry"/>
        <s v="Math 115"/>
        <s v="MSCI"/>
        <s v="Physics"/>
        <s v="Math 116"/>
      </sharedItems>
    </cacheField>
    <cacheField name="Assignment Name" numFmtId="0">
      <sharedItems/>
    </cacheField>
    <cacheField name="Priority" numFmtId="0">
      <sharedItems count="3">
        <s v="High"/>
        <s v="Medium"/>
        <s v="Low"/>
      </sharedItems>
    </cacheField>
    <cacheField name="Due Date (dd/mm/yy)" numFmtId="14">
      <sharedItems containsDate="1" containsMixedTypes="1" minDate="2023-01-12T00:00:00" maxDate="2023-12-13T00:00:00" count="5">
        <d v="2023-12-12T00:00:00"/>
        <d v="2023-01-12T00:00:00"/>
        <d v="2023-06-12T00:00:00"/>
        <d v="2023-09-12T00:00:00"/>
        <s v="15/11/23"/>
      </sharedItems>
    </cacheField>
    <cacheField name="Remaining Hours" numFmtId="0">
      <sharedItems/>
    </cacheField>
    <cacheField name="Est Time" numFmtId="1">
      <sharedItems containsSemiMixedTypes="0" containsString="0" containsNumber="1" containsInteger="1" minValue="2" maxValue="45"/>
    </cacheField>
    <cacheField name="Completed Hours" numFmtId="1">
      <sharedItems containsString="0" containsBlank="1" containsNumber="1" containsInteger="1" minValue="2" maxValue="5"/>
    </cacheField>
    <cacheField name="Progress" numFmtId="9">
      <sharedItems containsSemiMixedTypes="0" containsString="0" containsNumber="1" minValue="0" maxValue="0.8" count="4">
        <n v="0.8"/>
        <n v="8.6956521739130432E-2"/>
        <n v="0.111111111111111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m/>
    <m/>
    <m/>
    <x v="0"/>
    <x v="0"/>
    <x v="0"/>
    <m/>
  </r>
  <r>
    <x v="1"/>
    <m/>
    <m/>
    <m/>
    <x v="0"/>
    <x v="0"/>
    <x v="0"/>
    <m/>
  </r>
  <r>
    <x v="2"/>
    <m/>
    <m/>
    <m/>
    <x v="0"/>
    <x v="0"/>
    <x v="0"/>
    <m/>
  </r>
  <r>
    <x v="3"/>
    <m/>
    <m/>
    <m/>
    <x v="0"/>
    <x v="0"/>
    <x v="0"/>
    <m/>
  </r>
  <r>
    <x v="4"/>
    <m/>
    <m/>
    <m/>
    <x v="0"/>
    <x v="0"/>
    <x v="0"/>
    <m/>
  </r>
  <r>
    <x v="5"/>
    <m/>
    <m/>
    <m/>
    <x v="0"/>
    <x v="0"/>
    <x v="0"/>
    <m/>
  </r>
  <r>
    <x v="6"/>
    <m/>
    <m/>
    <m/>
    <x v="0"/>
    <x v="0"/>
    <x v="0"/>
    <m/>
  </r>
  <r>
    <x v="7"/>
    <m/>
    <m/>
    <m/>
    <x v="0"/>
    <x v="0"/>
    <x v="0"/>
    <m/>
  </r>
  <r>
    <x v="8"/>
    <m/>
    <m/>
    <m/>
    <x v="0"/>
    <x v="0"/>
    <x v="0"/>
    <m/>
  </r>
  <r>
    <x v="9"/>
    <m/>
    <m/>
    <m/>
    <x v="0"/>
    <x v="0"/>
    <x v="0"/>
    <m/>
  </r>
  <r>
    <x v="10"/>
    <m/>
    <m/>
    <s v="Integrals"/>
    <x v="0"/>
    <x v="0"/>
    <x v="0"/>
    <s v="Integrals"/>
  </r>
  <r>
    <x v="11"/>
    <m/>
    <m/>
    <m/>
    <x v="0"/>
    <x v="0"/>
    <x v="1"/>
    <m/>
  </r>
  <r>
    <x v="12"/>
    <m/>
    <s v="Vectors"/>
    <m/>
    <x v="0"/>
    <x v="0"/>
    <x v="0"/>
    <m/>
  </r>
  <r>
    <x v="13"/>
    <m/>
    <m/>
    <m/>
    <x v="1"/>
    <x v="1"/>
    <x v="1"/>
    <s v="Time Management Lab"/>
  </r>
  <r>
    <x v="14"/>
    <s v="Mobius"/>
    <m/>
    <m/>
    <x v="0"/>
    <x v="0"/>
    <x v="2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Mobius"/>
    <x v="0"/>
    <x v="0"/>
    <s v="168 hours left"/>
    <n v="5"/>
    <n v="4"/>
    <x v="0"/>
  </r>
  <r>
    <x v="1"/>
    <s v="Vectors"/>
    <x v="1"/>
    <x v="1"/>
    <s v="0 hours left"/>
    <n v="23"/>
    <n v="2"/>
    <x v="1"/>
  </r>
  <r>
    <x v="2"/>
    <s v="Time Management Lab"/>
    <x v="0"/>
    <x v="2"/>
    <s v="24 hours left"/>
    <n v="45"/>
    <n v="5"/>
    <x v="2"/>
  </r>
  <r>
    <x v="3"/>
    <s v="Torque"/>
    <x v="2"/>
    <x v="3"/>
    <s v="96 hours left"/>
    <n v="3"/>
    <m/>
    <x v="3"/>
  </r>
  <r>
    <x v="4"/>
    <s v="Integrals"/>
    <x v="2"/>
    <x v="4"/>
    <s v="0 hours left"/>
    <n v="2"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8B529D-6AB2-44D9-BFBC-4031C765DDED}" name="PivotTable3" cacheId="1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B19" firstHeaderRow="1" firstDataRow="1" firstDataCol="1"/>
  <pivotFields count="8">
    <pivotField axis="axisRow" showAll="0">
      <items count="16">
        <item x="0"/>
        <item x="9"/>
        <item x="10"/>
        <item x="11"/>
        <item x="12"/>
        <item x="13"/>
        <item x="14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dataField="1" showAll="0">
      <items count="4">
        <item x="0"/>
        <item x="1"/>
        <item x="2"/>
        <item t="default"/>
      </items>
    </pivotField>
    <pivotField showAll="0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Total Assignments" fld="6" baseField="0" baseItem="0"/>
  </dataFields>
  <chartFormats count="16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5658EB-07DB-4B21-8D3F-D42FD7908AD9}" name="PivotTable5" cacheId="1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>
  <location ref="A3:E10" firstHeaderRow="1" firstDataRow="2" firstDataCol="1"/>
  <pivotFields count="8">
    <pivotField axis="axisRow" showAll="0">
      <items count="6">
        <item x="0"/>
        <item x="1"/>
        <item x="4"/>
        <item x="2"/>
        <item x="3"/>
        <item t="default"/>
      </items>
    </pivotField>
    <pivotField showAll="0"/>
    <pivotField axis="axisCol" showAll="0">
      <items count="4">
        <item x="0"/>
        <item x="2"/>
        <item x="1"/>
        <item t="default"/>
      </items>
    </pivotField>
    <pivotField showAll="0"/>
    <pivotField showAll="0"/>
    <pivotField numFmtId="1" showAll="0"/>
    <pivotField dataField="1" showAll="0"/>
    <pivotField numFmtId="9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 of Completed Hours" fld="6" baseField="0" baseItem="0"/>
  </dataFields>
  <chartFormats count="3">
    <chartFormat chart="15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14EB2-B3BE-4072-9AB0-E8E47C3B6AC9}" name="PivotTable7" cacheId="1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3:E10" firstHeaderRow="1" firstDataRow="2" firstDataCol="1"/>
  <pivotFields count="8">
    <pivotField axis="axisRow" showAll="0">
      <items count="6">
        <item x="0"/>
        <item x="1"/>
        <item x="4"/>
        <item x="2"/>
        <item x="3"/>
        <item t="default"/>
      </items>
    </pivotField>
    <pivotField dataField="1" showAll="0"/>
    <pivotField axis="axisCol" showAll="0">
      <items count="4">
        <item x="0"/>
        <item x="2"/>
        <item x="1"/>
        <item t="default"/>
      </items>
    </pivotField>
    <pivotField showAll="0">
      <items count="6">
        <item x="4"/>
        <item x="1"/>
        <item x="2"/>
        <item x="3"/>
        <item x="0"/>
        <item t="default"/>
      </items>
    </pivotField>
    <pivotField showAll="0"/>
    <pivotField numFmtId="1" showAll="0"/>
    <pivotField showAll="0"/>
    <pivotField numFmtId="9" showAll="0">
      <items count="5">
        <item x="3"/>
        <item x="1"/>
        <item x="2"/>
        <item x="0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Count of Assignment Name" fld="1" subtotal="count" baseField="0" baseItem="0"/>
  </dataFields>
  <chartFormats count="3">
    <chartFormat chart="6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42E67DB-808D-4DA0-80C5-2592B571B727}" name="AssignmentProgress" displayName="AssignmentProgress" ref="A1:H16" totalsRowShown="0" headerRowDxfId="49" dataDxfId="48">
  <autoFilter ref="A1:H16" xr:uid="{842E67DB-808D-4DA0-80C5-2592B571B72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46ABFDA-AD66-4B8A-B8B7-222975C741D7}" name="Week" dataDxfId="47"/>
    <tableColumn id="2" xr3:uid="{64177B47-EC01-408D-8B0A-D6A948CFADD7}" name="Chemistry" dataDxfId="46"/>
    <tableColumn id="3" xr3:uid="{58FFCFD8-0159-4D18-A9D3-2CEFE86ECA0F}" name="Math 115" dataDxfId="45"/>
    <tableColumn id="4" xr3:uid="{0FE1674D-0631-4BD8-A270-3AF16AFFEC99}" name="Math 116" dataDxfId="44"/>
    <tableColumn id="5" xr3:uid="{F5C1D735-82D0-4C63-A75B-427281D32413}" name="MSCI" dataDxfId="43"/>
    <tableColumn id="6" xr3:uid="{8053878B-189D-459A-B891-D02B1484FD81}" name="Physics" dataDxfId="42"/>
    <tableColumn id="7" xr3:uid="{B456829D-B7CF-462C-977A-6721CA71CAE9}" name="Total Assignments" dataDxfId="41">
      <calculatedColumnFormula array="1">SUMPRODUCT(--(ISTEXT(B2:F2)))</calculatedColumnFormula>
    </tableColumn>
    <tableColumn id="8" xr3:uid="{8305E81E-D1CD-4419-968E-425DD694C885}" name="Completed Assignments" dataDxfId="40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EF394DD-30C9-4978-8400-1DD47AE52A66}" name="AssignmentTimeTable" displayName="AssignmentTimeTable" ref="P1:W7" totalsRowShown="0" headerRowDxfId="39">
  <autoFilter ref="P1:W7" xr:uid="{3EF394DD-30C9-4978-8400-1DD47AE52A6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4C0C1D3-62E7-48F4-8154-FC52A81AE75D}" name="Subject" dataDxfId="38"/>
    <tableColumn id="2" xr3:uid="{DB1205D5-38C8-4061-8212-C98C9F99EDFB}" name="Assignment Name" dataDxfId="37"/>
    <tableColumn id="3" xr3:uid="{8CA226B3-9D17-4E76-BBDF-6793D6C10BF7}" name="Priority" dataDxfId="36"/>
    <tableColumn id="4" xr3:uid="{34592D75-0C16-4879-B16E-F23C5296D046}" name="Due Date (dd/mm/yy)" dataDxfId="35"/>
    <tableColumn id="5" xr3:uid="{BFD4EBDA-6D44-40C5-95B1-196E281B3460}" name="Remaining Hours" dataDxfId="34"/>
    <tableColumn id="6" xr3:uid="{4C567BA9-3891-47FB-9C04-7B8DF1678634}" name="Est Time" dataDxfId="33"/>
    <tableColumn id="7" xr3:uid="{C46DE89B-099F-4EB9-AFC2-319DFB3DE4A9}" name="Completed Hours" dataDxfId="32"/>
    <tableColumn id="8" xr3:uid="{FB17E4F1-BE99-4735-94B3-F07EBF3C5FD7}" name="Progress" dataDxfId="31" dataCellStyle="Percent">
      <calculatedColumnFormula>IF(U2&lt;&gt;0, V2/U2)</calculatedColumnFormula>
    </tableColumn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2AF828E-C0D5-4E60-B58D-312F5861F5C2}" name="LeisureTable" displayName="LeisureTable" ref="A1:H4" totalsRowShown="0" headerRowDxfId="29" dataDxfId="28" headerRowBorderDxfId="26" tableBorderDxfId="27">
  <autoFilter ref="A1:H4" xr:uid="{72AF828E-C0D5-4E60-B58D-312F5861F5C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00B1699-AA47-4D3F-8EE3-B281FED60DBF}" name="Activity" dataDxfId="25"/>
    <tableColumn id="2" xr3:uid="{4D8621FB-226D-4296-81E6-41C215050767}" name="Monday" dataDxfId="24"/>
    <tableColumn id="3" xr3:uid="{F37AA916-B82A-4F2C-BE85-58CC6529BB59}" name="Tuesday" dataDxfId="23"/>
    <tableColumn id="4" xr3:uid="{CC62A466-AD8C-4A4A-A6EF-6321B75A1D81}" name="Wednesday" dataDxfId="22"/>
    <tableColumn id="5" xr3:uid="{E1A4469D-4609-4F8A-B37D-F7E5523D7C02}" name="Thursday" dataDxfId="21"/>
    <tableColumn id="6" xr3:uid="{0B84F043-EC13-423E-B36E-52DAA8BE6328}" name="Friday" dataDxfId="20"/>
    <tableColumn id="7" xr3:uid="{22EC0449-A5D0-4750-ABF8-6AF2A362BB46}" name="Saturday" dataDxfId="19"/>
    <tableColumn id="8" xr3:uid="{2737A9AF-2C0A-4E08-8123-F86B92694042}" name="Sunday" dataDxfId="18"/>
  </tableColumns>
  <tableStyleInfo name="Calendar 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4EA174-9CAF-4464-80A8-45193B010BA7}" name="Table1" displayName="Table1" ref="J1:K5" totalsRowShown="0" headerRowDxfId="17" dataDxfId="16">
  <autoFilter ref="J1:K5" xr:uid="{E14EA174-9CAF-4464-80A8-45193B010BA7}"/>
  <tableColumns count="2">
    <tableColumn id="1" xr3:uid="{E0FCCE93-C742-4379-9184-9E0F9067AF29}" name="Activity" dataDxfId="15"/>
    <tableColumn id="2" xr3:uid="{523E2C18-9069-4C80-9C73-2C6372CAC6D4}" name="Total Hours" dataDxfId="14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6B5AF5-B4D8-4466-9DB3-2EB47240080D}" name="CommuteTable" displayName="CommuteTable" ref="A1:H5" totalsRowShown="0" headerRowDxfId="12" headerRowBorderDxfId="10" tableBorderDxfId="11">
  <autoFilter ref="A1:H5" xr:uid="{046B5AF5-B4D8-4466-9DB3-2EB47240080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1DFD90E-2CEB-492D-AC58-AE30E4485D5D}" name="Commute Destination"/>
    <tableColumn id="2" xr3:uid="{22F98F2A-AC24-4872-BBC4-77AE4E850A41}" name="Monday"/>
    <tableColumn id="3" xr3:uid="{7E30120A-0BB2-4A0A-87FE-74FE0D67F87D}" name="Tuesday" dataDxfId="9">
      <calculatedColumnFormula>SUM($C$2:$C$6)</calculatedColumnFormula>
    </tableColumn>
    <tableColumn id="4" xr3:uid="{02372750-FCD2-49CC-91EB-4DC3386BED52}" name="Wednesday" dataDxfId="8">
      <calculatedColumnFormula>SUM($D$2:$D$6)</calculatedColumnFormula>
    </tableColumn>
    <tableColumn id="5" xr3:uid="{CD3109B0-BC17-48C9-91BB-E8363FECBB82}" name="Thursday" dataDxfId="7">
      <calculatedColumnFormula>SUM($E$2:$E$5)</calculatedColumnFormula>
    </tableColumn>
    <tableColumn id="6" xr3:uid="{C4F5DEFA-1517-4900-94F9-AC85FBB179F6}" name="Friday" dataDxfId="6">
      <calculatedColumnFormula>SUM($F$2:$F$6)</calculatedColumnFormula>
    </tableColumn>
    <tableColumn id="7" xr3:uid="{8B83D9A8-F548-49D8-B9D0-E88CE7C5AC91}" name="Saturday" dataDxfId="5">
      <calculatedColumnFormula>SUM($G$2:$G$6)</calculatedColumnFormula>
    </tableColumn>
    <tableColumn id="8" xr3:uid="{1F72DAD6-564F-402B-8CD4-78580C1669F1}" name="Sunday" dataDxfId="4">
      <calculatedColumnFormula>SUM($H$2:$H$6)</calculatedColumnFormula>
    </tableColumn>
  </tableColumns>
  <tableStyleInfo name="Calendar sty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468B14-25B9-4637-A9C3-B5F14CCAFD88}" name="Table13" displayName="Table13" ref="J1:K5" totalsRowShown="0" headerRowDxfId="3" dataDxfId="2">
  <autoFilter ref="J1:K5" xr:uid="{CD468B14-25B9-4637-A9C3-B5F14CCAFD88}"/>
  <tableColumns count="2">
    <tableColumn id="1" xr3:uid="{5C03F715-94C4-4B3D-B871-66D75FD6FE79}" name="Activity" dataDxfId="1"/>
    <tableColumn id="2" xr3:uid="{E8C19E85-858A-42FB-83B7-9556B4E8C4D4}" name="Total Hours" dataDxfId="0">
      <calculatedColumnFormula>SUMIF($A$2:$A$5, "School", B4:H4)</calculatedColumnFormula>
    </tableColumn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11" Type="http://schemas.openxmlformats.org/officeDocument/2006/relationships/table" Target="../tables/table2.xml"/><Relationship Id="rId5" Type="http://schemas.openxmlformats.org/officeDocument/2006/relationships/control" Target="../activeX/activeX2.xml"/><Relationship Id="rId10" Type="http://schemas.openxmlformats.org/officeDocument/2006/relationships/table" Target="../tables/table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ontrol" Target="../activeX/activeX4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6.emf"/><Relationship Id="rId5" Type="http://schemas.openxmlformats.org/officeDocument/2006/relationships/control" Target="../activeX/activeX5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control" Target="../activeX/activeX6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DFC6-7CAB-435A-AD6B-400247B9CDAB}">
  <sheetPr codeName="Sheet4"/>
  <dimension ref="A1:U32"/>
  <sheetViews>
    <sheetView zoomScale="74" workbookViewId="0">
      <selection activeCell="V24" sqref="V24"/>
    </sheetView>
  </sheetViews>
  <sheetFormatPr defaultRowHeight="14.45"/>
  <sheetData>
    <row r="1" spans="1:21" ht="24" customHeight="1">
      <c r="A1" s="52" t="s">
        <v>0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</row>
    <row r="2" spans="1:21" ht="18.95" customHeight="1">
      <c r="A2" s="53" t="s">
        <v>1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</row>
    <row r="3" spans="1:21">
      <c r="A3" s="54"/>
      <c r="B3" s="54"/>
      <c r="C3" s="54"/>
      <c r="H3" s="24"/>
      <c r="I3" s="24"/>
      <c r="J3" s="24"/>
      <c r="K3" s="24"/>
      <c r="L3" s="24"/>
      <c r="M3" s="24"/>
      <c r="N3" s="24"/>
    </row>
    <row r="4" spans="1:21">
      <c r="A4" s="54"/>
      <c r="B4" s="54"/>
      <c r="C4" s="54"/>
      <c r="H4" s="26"/>
      <c r="I4" s="24"/>
      <c r="J4" s="24"/>
      <c r="K4" s="26"/>
      <c r="L4" s="26"/>
      <c r="M4" s="26"/>
      <c r="N4" s="26"/>
    </row>
    <row r="5" spans="1:21">
      <c r="A5" s="54"/>
      <c r="B5" s="54"/>
      <c r="C5" s="54"/>
      <c r="H5" s="38"/>
      <c r="I5" s="38"/>
      <c r="J5" s="38"/>
    </row>
    <row r="17" spans="1:21" ht="22.5" customHeight="1">
      <c r="A17" s="49" t="s">
        <v>2</v>
      </c>
      <c r="B17" s="49"/>
      <c r="C17" s="49"/>
      <c r="D17" s="49"/>
      <c r="E17" s="49"/>
      <c r="F17" s="49"/>
      <c r="G17" s="49"/>
      <c r="I17" s="50" t="s">
        <v>3</v>
      </c>
      <c r="J17" s="50"/>
      <c r="K17" s="50"/>
      <c r="L17" s="50"/>
      <c r="M17" s="50"/>
      <c r="N17" s="50"/>
      <c r="P17" s="51" t="s">
        <v>4</v>
      </c>
      <c r="Q17" s="51"/>
      <c r="R17" s="51"/>
      <c r="S17" s="51"/>
      <c r="T17" s="51"/>
      <c r="U17" s="51"/>
    </row>
    <row r="18" spans="1:21">
      <c r="H18" s="27"/>
      <c r="I18" s="27"/>
      <c r="J18" s="27"/>
      <c r="K18" s="27"/>
      <c r="L18" s="27"/>
      <c r="M18" s="27"/>
      <c r="N18" s="27"/>
      <c r="P18" s="35"/>
      <c r="Q18" s="35"/>
      <c r="R18" s="35"/>
      <c r="S18" s="35"/>
      <c r="T18" s="35"/>
      <c r="U18" s="35"/>
    </row>
    <row r="19" spans="1:21" ht="15" thickBot="1">
      <c r="P19" s="35"/>
      <c r="Q19" s="35"/>
      <c r="R19" s="35"/>
      <c r="S19" s="35"/>
      <c r="T19" s="35"/>
      <c r="U19" s="35"/>
    </row>
    <row r="20" spans="1:21" ht="15" thickTop="1">
      <c r="P20" s="35"/>
      <c r="Q20" s="40">
        <v>1.7303240740740741E-2</v>
      </c>
      <c r="R20" s="41"/>
      <c r="S20" s="41"/>
      <c r="T20" s="42"/>
      <c r="U20" s="35"/>
    </row>
    <row r="21" spans="1:21">
      <c r="P21" s="35"/>
      <c r="Q21" s="43"/>
      <c r="R21" s="44"/>
      <c r="S21" s="44"/>
      <c r="T21" s="45"/>
      <c r="U21" s="35"/>
    </row>
    <row r="22" spans="1:21">
      <c r="P22" s="35"/>
      <c r="Q22" s="43"/>
      <c r="R22" s="44"/>
      <c r="S22" s="44"/>
      <c r="T22" s="45"/>
      <c r="U22" s="35"/>
    </row>
    <row r="23" spans="1:21" ht="15" thickBot="1">
      <c r="P23" s="35"/>
      <c r="Q23" s="46"/>
      <c r="R23" s="47"/>
      <c r="S23" s="47"/>
      <c r="T23" s="48"/>
      <c r="U23" s="35"/>
    </row>
    <row r="24" spans="1:21" ht="15" thickTop="1">
      <c r="P24" s="35"/>
      <c r="Q24" s="35"/>
      <c r="R24" s="35"/>
      <c r="S24" s="35"/>
      <c r="T24" s="35"/>
      <c r="U24" s="35"/>
    </row>
    <row r="25" spans="1:21">
      <c r="P25" s="35"/>
      <c r="Q25" s="35"/>
      <c r="R25" s="35"/>
      <c r="S25" s="35"/>
      <c r="T25" s="35"/>
      <c r="U25" s="35"/>
    </row>
    <row r="26" spans="1:21">
      <c r="P26" s="35"/>
      <c r="Q26" s="35"/>
      <c r="R26" s="35"/>
      <c r="S26" s="35"/>
      <c r="T26" s="35"/>
      <c r="U26" s="35"/>
    </row>
    <row r="27" spans="1:21">
      <c r="P27" s="35"/>
      <c r="Q27" s="35"/>
      <c r="R27" s="35"/>
      <c r="S27" s="35"/>
      <c r="T27" s="35"/>
      <c r="U27" s="35"/>
    </row>
    <row r="28" spans="1:21">
      <c r="P28" s="37"/>
      <c r="Q28" s="38"/>
      <c r="R28" s="35"/>
      <c r="S28" s="35"/>
      <c r="T28" s="38"/>
      <c r="U28" s="39"/>
    </row>
    <row r="29" spans="1:21">
      <c r="P29" s="37"/>
      <c r="Q29" s="38"/>
      <c r="R29" s="35"/>
      <c r="S29" s="35"/>
      <c r="T29" s="38"/>
      <c r="U29" s="39"/>
    </row>
    <row r="30" spans="1:21">
      <c r="P30" s="37"/>
      <c r="Q30" s="38"/>
      <c r="R30" s="35"/>
      <c r="S30" s="35"/>
      <c r="T30" s="38"/>
      <c r="U30" s="39"/>
    </row>
    <row r="31" spans="1:21">
      <c r="P31" s="35"/>
      <c r="Q31" s="35"/>
      <c r="R31" s="35"/>
      <c r="S31" s="35"/>
      <c r="T31" s="35"/>
      <c r="U31" s="35"/>
    </row>
    <row r="32" spans="1:21">
      <c r="P32" s="35"/>
      <c r="Q32" s="35"/>
      <c r="R32" s="35"/>
      <c r="S32" s="35"/>
      <c r="T32" s="35"/>
      <c r="U32" s="35"/>
    </row>
  </sheetData>
  <mergeCells count="12">
    <mergeCell ref="A1:U1"/>
    <mergeCell ref="A2:U2"/>
    <mergeCell ref="A3:C3"/>
    <mergeCell ref="A4:C4"/>
    <mergeCell ref="A5:C5"/>
    <mergeCell ref="H5:J5"/>
    <mergeCell ref="P28:Q30"/>
    <mergeCell ref="T28:U30"/>
    <mergeCell ref="Q20:T23"/>
    <mergeCell ref="A17:G17"/>
    <mergeCell ref="I17:N17"/>
    <mergeCell ref="P17:U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StopTimer">
                <anchor moveWithCells="1" sizeWithCells="1">
                  <from>
                    <xdr:col>19</xdr:col>
                    <xdr:colOff>0</xdr:colOff>
                    <xdr:row>27</xdr:row>
                    <xdr:rowOff>0</xdr:rowOff>
                  </from>
                  <to>
                    <xdr:col>20</xdr:col>
                    <xdr:colOff>603250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StartTimer">
                <anchor moveWithCells="1" sizeWithCells="1">
                  <from>
                    <xdr:col>15</xdr:col>
                    <xdr:colOff>6350</xdr:colOff>
                    <xdr:row>27</xdr:row>
                    <xdr:rowOff>0</xdr:rowOff>
                  </from>
                  <to>
                    <xdr:col>16</xdr:col>
                    <xdr:colOff>603250</xdr:colOff>
                    <xdr:row>30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1BA6-F10E-4D36-9E1D-0F3E743A315F}">
  <sheetPr codeName="Sheet1"/>
  <dimension ref="A3:B19"/>
  <sheetViews>
    <sheetView workbookViewId="0">
      <selection activeCell="K16" sqref="K16"/>
    </sheetView>
  </sheetViews>
  <sheetFormatPr defaultRowHeight="14.45"/>
  <cols>
    <col min="1" max="1" width="12.42578125" bestFit="1" customWidth="1"/>
    <col min="2" max="2" width="22.5703125" bestFit="1" customWidth="1"/>
    <col min="3" max="4" width="1.85546875" bestFit="1" customWidth="1"/>
    <col min="5" max="5" width="10.7109375" bestFit="1" customWidth="1"/>
  </cols>
  <sheetData>
    <row r="3" spans="1:2">
      <c r="A3" s="5" t="s">
        <v>5</v>
      </c>
      <c r="B3" t="s">
        <v>6</v>
      </c>
    </row>
    <row r="4" spans="1:2">
      <c r="A4" s="6" t="s">
        <v>7</v>
      </c>
      <c r="B4">
        <v>0</v>
      </c>
    </row>
    <row r="5" spans="1:2">
      <c r="A5" s="6" t="s">
        <v>8</v>
      </c>
      <c r="B5">
        <v>0</v>
      </c>
    </row>
    <row r="6" spans="1:2">
      <c r="A6" s="6" t="s">
        <v>9</v>
      </c>
      <c r="B6">
        <v>0</v>
      </c>
    </row>
    <row r="7" spans="1:2">
      <c r="A7" s="6" t="s">
        <v>10</v>
      </c>
      <c r="B7">
        <v>1</v>
      </c>
    </row>
    <row r="8" spans="1:2">
      <c r="A8" s="6" t="s">
        <v>11</v>
      </c>
      <c r="B8">
        <v>0</v>
      </c>
    </row>
    <row r="9" spans="1:2">
      <c r="A9" s="6" t="s">
        <v>12</v>
      </c>
      <c r="B9">
        <v>1</v>
      </c>
    </row>
    <row r="10" spans="1:2">
      <c r="A10" s="6" t="s">
        <v>13</v>
      </c>
      <c r="B10">
        <v>2</v>
      </c>
    </row>
    <row r="11" spans="1:2">
      <c r="A11" s="6" t="s">
        <v>14</v>
      </c>
      <c r="B11">
        <v>0</v>
      </c>
    </row>
    <row r="12" spans="1:2">
      <c r="A12" s="6" t="s">
        <v>15</v>
      </c>
      <c r="B12">
        <v>0</v>
      </c>
    </row>
    <row r="13" spans="1:2">
      <c r="A13" s="6" t="s">
        <v>16</v>
      </c>
      <c r="B13">
        <v>0</v>
      </c>
    </row>
    <row r="14" spans="1:2">
      <c r="A14" s="6" t="s">
        <v>17</v>
      </c>
      <c r="B14">
        <v>0</v>
      </c>
    </row>
    <row r="15" spans="1:2">
      <c r="A15" s="6" t="s">
        <v>18</v>
      </c>
      <c r="B15">
        <v>0</v>
      </c>
    </row>
    <row r="16" spans="1:2">
      <c r="A16" s="6" t="s">
        <v>19</v>
      </c>
      <c r="B16">
        <v>0</v>
      </c>
    </row>
    <row r="17" spans="1:2">
      <c r="A17" s="6" t="s">
        <v>20</v>
      </c>
      <c r="B17">
        <v>0</v>
      </c>
    </row>
    <row r="18" spans="1:2">
      <c r="A18" s="6" t="s">
        <v>21</v>
      </c>
      <c r="B18">
        <v>0</v>
      </c>
    </row>
    <row r="19" spans="1:2">
      <c r="A19" s="6" t="s">
        <v>22</v>
      </c>
      <c r="B19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08923-9AB2-4C22-9D2D-1C3048EC510C}">
  <sheetPr codeName="Sheet5"/>
  <dimension ref="A3:E10"/>
  <sheetViews>
    <sheetView workbookViewId="0">
      <selection activeCell="G3" sqref="G3"/>
    </sheetView>
  </sheetViews>
  <sheetFormatPr defaultRowHeight="14.45"/>
  <cols>
    <col min="1" max="1" width="22" bestFit="1" customWidth="1"/>
    <col min="2" max="2" width="15.28515625" bestFit="1" customWidth="1"/>
    <col min="3" max="3" width="4.140625" bestFit="1" customWidth="1"/>
    <col min="4" max="4" width="7.85546875" bestFit="1" customWidth="1"/>
    <col min="5" max="5" width="10.7109375" bestFit="1" customWidth="1"/>
  </cols>
  <sheetData>
    <row r="3" spans="1:5">
      <c r="A3" s="5" t="s">
        <v>23</v>
      </c>
      <c r="B3" s="5" t="s">
        <v>24</v>
      </c>
    </row>
    <row r="4" spans="1:5">
      <c r="A4" s="5" t="s">
        <v>5</v>
      </c>
      <c r="B4" t="s">
        <v>25</v>
      </c>
      <c r="C4" t="s">
        <v>26</v>
      </c>
      <c r="D4" t="s">
        <v>27</v>
      </c>
      <c r="E4" t="s">
        <v>22</v>
      </c>
    </row>
    <row r="5" spans="1:5">
      <c r="A5" s="6" t="s">
        <v>28</v>
      </c>
      <c r="B5">
        <v>4</v>
      </c>
      <c r="E5">
        <v>4</v>
      </c>
    </row>
    <row r="6" spans="1:5">
      <c r="A6" s="6" t="s">
        <v>29</v>
      </c>
      <c r="D6">
        <v>2</v>
      </c>
      <c r="E6">
        <v>2</v>
      </c>
    </row>
    <row r="7" spans="1:5">
      <c r="A7" s="6" t="s">
        <v>30</v>
      </c>
    </row>
    <row r="8" spans="1:5">
      <c r="A8" s="6" t="s">
        <v>31</v>
      </c>
      <c r="B8">
        <v>5</v>
      </c>
      <c r="E8">
        <v>5</v>
      </c>
    </row>
    <row r="9" spans="1:5">
      <c r="A9" s="6" t="s">
        <v>32</v>
      </c>
    </row>
    <row r="10" spans="1:5">
      <c r="A10" s="6" t="s">
        <v>22</v>
      </c>
      <c r="B10">
        <v>9</v>
      </c>
      <c r="D10">
        <v>2</v>
      </c>
      <c r="E10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AA6CD-E7EC-4B2E-9400-AC432B193812}">
  <sheetPr codeName="Sheet7"/>
  <dimension ref="A3:E10"/>
  <sheetViews>
    <sheetView workbookViewId="0">
      <selection activeCell="I14" sqref="I14"/>
    </sheetView>
  </sheetViews>
  <sheetFormatPr defaultRowHeight="14.45"/>
  <cols>
    <col min="1" max="1" width="23.85546875" bestFit="1" customWidth="1"/>
    <col min="2" max="2" width="15.28515625" bestFit="1" customWidth="1"/>
    <col min="3" max="3" width="4.140625" bestFit="1" customWidth="1"/>
    <col min="4" max="4" width="7.85546875" bestFit="1" customWidth="1"/>
    <col min="5" max="5" width="10.7109375" bestFit="1" customWidth="1"/>
    <col min="6" max="6" width="10.42578125" bestFit="1" customWidth="1"/>
    <col min="7" max="7" width="10.7109375" bestFit="1" customWidth="1"/>
  </cols>
  <sheetData>
    <row r="3" spans="1:5">
      <c r="A3" s="5" t="s">
        <v>33</v>
      </c>
      <c r="B3" s="5" t="s">
        <v>24</v>
      </c>
    </row>
    <row r="4" spans="1:5">
      <c r="A4" s="5" t="s">
        <v>5</v>
      </c>
      <c r="B4" t="s">
        <v>25</v>
      </c>
      <c r="C4" t="s">
        <v>26</v>
      </c>
      <c r="D4" t="s">
        <v>27</v>
      </c>
      <c r="E4" t="s">
        <v>22</v>
      </c>
    </row>
    <row r="5" spans="1:5">
      <c r="A5" s="6" t="s">
        <v>28</v>
      </c>
      <c r="B5">
        <v>1</v>
      </c>
      <c r="E5">
        <v>1</v>
      </c>
    </row>
    <row r="6" spans="1:5">
      <c r="A6" s="6" t="s">
        <v>29</v>
      </c>
      <c r="D6">
        <v>1</v>
      </c>
      <c r="E6">
        <v>1</v>
      </c>
    </row>
    <row r="7" spans="1:5">
      <c r="A7" s="6" t="s">
        <v>30</v>
      </c>
      <c r="C7">
        <v>1</v>
      </c>
      <c r="E7">
        <v>1</v>
      </c>
    </row>
    <row r="8" spans="1:5">
      <c r="A8" s="6" t="s">
        <v>31</v>
      </c>
      <c r="B8">
        <v>1</v>
      </c>
      <c r="E8">
        <v>1</v>
      </c>
    </row>
    <row r="9" spans="1:5">
      <c r="A9" s="6" t="s">
        <v>32</v>
      </c>
      <c r="C9">
        <v>1</v>
      </c>
      <c r="E9">
        <v>1</v>
      </c>
    </row>
    <row r="10" spans="1:5">
      <c r="A10" s="6" t="s">
        <v>22</v>
      </c>
      <c r="B10">
        <v>2</v>
      </c>
      <c r="C10">
        <v>2</v>
      </c>
      <c r="D10">
        <v>1</v>
      </c>
      <c r="E10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46611-381D-4B5E-B367-EB000E7AEB05}">
  <sheetPr codeName="Sheet6"/>
  <dimension ref="A1:W16"/>
  <sheetViews>
    <sheetView tabSelected="1" topLeftCell="H1" zoomScale="60" zoomScaleNormal="60" workbookViewId="0">
      <selection activeCell="W8" sqref="W8"/>
    </sheetView>
  </sheetViews>
  <sheetFormatPr defaultRowHeight="18.600000000000001"/>
  <cols>
    <col min="1" max="8" width="18.5703125" customWidth="1"/>
    <col min="9" max="9" width="8.85546875" customWidth="1"/>
    <col min="10" max="10" width="8.7109375" customWidth="1"/>
    <col min="16" max="18" width="26.5703125" customWidth="1"/>
    <col min="19" max="19" width="26.5703125" style="22" customWidth="1"/>
    <col min="20" max="20" width="26.5703125" customWidth="1"/>
    <col min="21" max="22" width="26.5703125" style="32" customWidth="1"/>
    <col min="23" max="23" width="26.5703125" style="34" customWidth="1"/>
    <col min="24" max="24" width="26.5703125" customWidth="1"/>
  </cols>
  <sheetData>
    <row r="1" spans="1:23" ht="37.5" customHeight="1" thickBot="1">
      <c r="A1" s="7" t="s">
        <v>34</v>
      </c>
      <c r="B1" s="8" t="s">
        <v>28</v>
      </c>
      <c r="C1" s="8" t="s">
        <v>29</v>
      </c>
      <c r="D1" s="8" t="s">
        <v>30</v>
      </c>
      <c r="E1" s="8" t="s">
        <v>31</v>
      </c>
      <c r="F1" s="8" t="s">
        <v>32</v>
      </c>
      <c r="G1" s="7" t="s">
        <v>35</v>
      </c>
      <c r="H1" s="8" t="s">
        <v>36</v>
      </c>
      <c r="I1" s="8"/>
      <c r="P1" s="7" t="s">
        <v>37</v>
      </c>
      <c r="Q1" s="7" t="s">
        <v>38</v>
      </c>
      <c r="R1" s="7" t="s">
        <v>39</v>
      </c>
      <c r="S1" s="23" t="s">
        <v>40</v>
      </c>
      <c r="T1" s="7" t="s">
        <v>41</v>
      </c>
      <c r="U1" s="30" t="s">
        <v>42</v>
      </c>
      <c r="V1" s="30" t="s">
        <v>43</v>
      </c>
      <c r="W1" s="33" t="s">
        <v>44</v>
      </c>
    </row>
    <row r="2" spans="1:23" ht="32.450000000000003" customHeight="1" thickTop="1">
      <c r="A2" s="25" t="s">
        <v>7</v>
      </c>
      <c r="B2" s="1"/>
      <c r="C2" s="1"/>
      <c r="D2" s="1"/>
      <c r="E2" s="1"/>
      <c r="F2" s="1"/>
      <c r="G2" s="1" cm="1">
        <f t="array" ref="G2">SUMPRODUCT(--(ISTEXT(B2:F2)))</f>
        <v>0</v>
      </c>
      <c r="H2" s="1"/>
      <c r="J2" s="60"/>
      <c r="K2" s="61"/>
      <c r="L2" s="61"/>
      <c r="M2" s="61"/>
      <c r="N2" s="62"/>
      <c r="P2" s="1" t="s">
        <v>28</v>
      </c>
      <c r="Q2" s="1" t="s">
        <v>45</v>
      </c>
      <c r="R2" s="1" t="s">
        <v>25</v>
      </c>
      <c r="S2" s="28">
        <v>45272</v>
      </c>
      <c r="T2" s="1" t="s">
        <v>46</v>
      </c>
      <c r="U2" s="31">
        <v>5</v>
      </c>
      <c r="V2" s="31">
        <v>4</v>
      </c>
      <c r="W2" s="34">
        <f t="shared" ref="W2:W7" si="0">IF(U2&lt;&gt;0, V2/U2)</f>
        <v>0.8</v>
      </c>
    </row>
    <row r="3" spans="1:23" ht="32.450000000000003" customHeight="1">
      <c r="A3" s="25" t="s">
        <v>14</v>
      </c>
      <c r="B3" s="1"/>
      <c r="C3" s="1"/>
      <c r="D3" s="1"/>
      <c r="E3" s="1"/>
      <c r="F3" s="1"/>
      <c r="G3" s="1" cm="1">
        <f t="array" ref="G3">SUMPRODUCT(--(ISTEXT(B3:F3)))</f>
        <v>0</v>
      </c>
      <c r="H3" s="1"/>
      <c r="J3" s="56"/>
      <c r="N3" s="58"/>
      <c r="P3" s="1" t="s">
        <v>29</v>
      </c>
      <c r="Q3" s="1" t="s">
        <v>47</v>
      </c>
      <c r="R3" s="1" t="s">
        <v>27</v>
      </c>
      <c r="S3" s="28">
        <v>44938</v>
      </c>
      <c r="T3" s="1" t="s">
        <v>48</v>
      </c>
      <c r="U3" s="31">
        <v>23</v>
      </c>
      <c r="V3" s="31">
        <v>2</v>
      </c>
      <c r="W3" s="34">
        <f t="shared" si="0"/>
        <v>8.6956521739130432E-2</v>
      </c>
    </row>
    <row r="4" spans="1:23" ht="32.450000000000003" customHeight="1">
      <c r="A4" s="25" t="s">
        <v>15</v>
      </c>
      <c r="B4" s="1"/>
      <c r="C4" s="1"/>
      <c r="D4" s="1"/>
      <c r="E4" s="1"/>
      <c r="F4" s="1"/>
      <c r="G4" s="1" cm="1">
        <f t="array" ref="G4">SUMPRODUCT(--(ISTEXT(B4:F4)))</f>
        <v>0</v>
      </c>
      <c r="H4" s="1"/>
      <c r="J4" s="56"/>
      <c r="N4" s="58"/>
      <c r="P4" s="1" t="s">
        <v>31</v>
      </c>
      <c r="Q4" s="1" t="s">
        <v>49</v>
      </c>
      <c r="R4" s="1" t="s">
        <v>25</v>
      </c>
      <c r="S4" s="28">
        <v>45089</v>
      </c>
      <c r="T4" s="1" t="s">
        <v>50</v>
      </c>
      <c r="U4" s="31">
        <v>45</v>
      </c>
      <c r="V4" s="31">
        <v>5</v>
      </c>
      <c r="W4" s="34">
        <f t="shared" si="0"/>
        <v>0.1111111111111111</v>
      </c>
    </row>
    <row r="5" spans="1:23" ht="32.450000000000003" customHeight="1" thickBot="1">
      <c r="A5" s="25" t="s">
        <v>16</v>
      </c>
      <c r="B5" s="1"/>
      <c r="C5" s="1"/>
      <c r="D5" s="1"/>
      <c r="E5" s="1"/>
      <c r="F5" s="1"/>
      <c r="G5" s="1" cm="1">
        <f t="array" ref="G5">SUMPRODUCT(--(ISTEXT(B5:F5)))</f>
        <v>0</v>
      </c>
      <c r="H5" s="1"/>
      <c r="J5" s="57"/>
      <c r="K5" s="55"/>
      <c r="L5" s="55"/>
      <c r="M5" s="55"/>
      <c r="N5" s="59"/>
      <c r="P5" s="1" t="s">
        <v>32</v>
      </c>
      <c r="Q5" s="1" t="s">
        <v>51</v>
      </c>
      <c r="R5" s="1" t="s">
        <v>26</v>
      </c>
      <c r="S5" s="28">
        <v>45181</v>
      </c>
      <c r="T5" s="1" t="s">
        <v>52</v>
      </c>
      <c r="U5" s="31">
        <v>3</v>
      </c>
      <c r="V5" s="31"/>
      <c r="W5" s="34">
        <f t="shared" si="0"/>
        <v>0</v>
      </c>
    </row>
    <row r="6" spans="1:23" ht="32.450000000000003" customHeight="1" thickTop="1">
      <c r="A6" s="25" t="s">
        <v>17</v>
      </c>
      <c r="B6" s="1"/>
      <c r="C6" s="1"/>
      <c r="D6" s="1"/>
      <c r="E6" s="1"/>
      <c r="F6" s="1"/>
      <c r="G6" s="1" cm="1">
        <f t="array" ref="G6">SUMPRODUCT(--(ISTEXT(B6:F6)))</f>
        <v>0</v>
      </c>
      <c r="H6" s="1"/>
      <c r="J6" s="12"/>
      <c r="K6" s="21"/>
      <c r="L6" s="21"/>
      <c r="M6" s="21"/>
      <c r="N6" s="18"/>
      <c r="P6" s="1" t="s">
        <v>30</v>
      </c>
      <c r="Q6" s="1" t="s">
        <v>53</v>
      </c>
      <c r="R6" s="1" t="s">
        <v>26</v>
      </c>
      <c r="S6" s="28" t="s">
        <v>54</v>
      </c>
      <c r="T6" s="1" t="s">
        <v>48</v>
      </c>
      <c r="U6" s="31">
        <v>2</v>
      </c>
      <c r="V6" s="31"/>
      <c r="W6" s="34">
        <f t="shared" si="0"/>
        <v>0</v>
      </c>
    </row>
    <row r="7" spans="1:23" ht="32.450000000000003" customHeight="1">
      <c r="A7" s="25" t="s">
        <v>18</v>
      </c>
      <c r="B7" s="1"/>
      <c r="C7" s="1"/>
      <c r="D7" s="1"/>
      <c r="E7" s="1"/>
      <c r="F7" s="1"/>
      <c r="G7" s="1" cm="1">
        <f t="array" ref="G7">SUMPRODUCT(--(ISTEXT(B7:F7)))</f>
        <v>0</v>
      </c>
      <c r="H7" s="1"/>
      <c r="J7" s="9"/>
      <c r="N7" s="9"/>
      <c r="P7" s="1" t="s">
        <v>31</v>
      </c>
      <c r="Q7" s="1" t="s">
        <v>55</v>
      </c>
      <c r="R7" s="1" t="s">
        <v>25</v>
      </c>
      <c r="S7" s="28" t="s">
        <v>54</v>
      </c>
      <c r="T7" s="1" t="s">
        <v>48</v>
      </c>
      <c r="U7" s="31" t="s">
        <v>56</v>
      </c>
      <c r="V7" s="31"/>
    </row>
    <row r="8" spans="1:23" ht="32.450000000000003" customHeight="1">
      <c r="A8" s="25" t="s">
        <v>19</v>
      </c>
      <c r="B8" s="1"/>
      <c r="C8" s="1"/>
      <c r="D8" s="1"/>
      <c r="E8" s="1"/>
      <c r="F8" s="1"/>
      <c r="G8" s="1" cm="1">
        <f t="array" ref="G8">SUMPRODUCT(--(ISTEXT(B8:F8)))</f>
        <v>0</v>
      </c>
      <c r="H8" s="1"/>
      <c r="J8" s="9"/>
      <c r="N8" s="9"/>
    </row>
    <row r="9" spans="1:23" ht="32.450000000000003" customHeight="1" thickBot="1">
      <c r="A9" s="25" t="s">
        <v>20</v>
      </c>
      <c r="B9" s="1"/>
      <c r="C9" s="1"/>
      <c r="D9" s="1"/>
      <c r="E9" s="1"/>
      <c r="F9" s="1"/>
      <c r="G9" s="1" cm="1">
        <f t="array" ref="G9">SUMPRODUCT(--(ISTEXT(B9:F9)))</f>
        <v>0</v>
      </c>
      <c r="H9" s="1"/>
      <c r="J9" s="12"/>
      <c r="K9" s="10"/>
      <c r="L9" s="10"/>
      <c r="M9" s="10"/>
      <c r="N9" s="18"/>
    </row>
    <row r="10" spans="1:23" ht="32.450000000000003" customHeight="1" thickTop="1">
      <c r="A10" s="25" t="s">
        <v>21</v>
      </c>
      <c r="B10" s="1"/>
      <c r="C10" s="1"/>
      <c r="D10" s="1"/>
      <c r="E10" s="1"/>
      <c r="F10" s="1"/>
      <c r="G10" s="1" cm="1">
        <f t="array" ref="G10">SUMPRODUCT(--(ISTEXT(B10:F10)))</f>
        <v>0</v>
      </c>
      <c r="H10" s="1"/>
      <c r="J10" s="13"/>
      <c r="K10" s="11"/>
      <c r="L10" s="11"/>
      <c r="M10" s="11"/>
      <c r="N10" s="19"/>
    </row>
    <row r="11" spans="1:23" ht="32.450000000000003" customHeight="1">
      <c r="A11" s="25" t="s">
        <v>8</v>
      </c>
      <c r="B11" s="1"/>
      <c r="C11" s="1"/>
      <c r="D11" s="1"/>
      <c r="E11" s="1"/>
      <c r="F11" s="1"/>
      <c r="G11" s="1" cm="1">
        <f t="array" ref="G11">SUMPRODUCT(--(ISTEXT(B11:F11)))</f>
        <v>0</v>
      </c>
      <c r="H11" s="1"/>
      <c r="J11" s="14"/>
      <c r="N11" s="20"/>
    </row>
    <row r="12" spans="1:23" ht="32.450000000000003" customHeight="1">
      <c r="A12" s="25" t="s">
        <v>9</v>
      </c>
      <c r="B12" s="1"/>
      <c r="C12" s="1"/>
      <c r="D12" s="1" t="s">
        <v>53</v>
      </c>
      <c r="E12" s="1" t="s">
        <v>55</v>
      </c>
      <c r="F12" s="1"/>
      <c r="G12" s="1" cm="1">
        <f t="array" ref="G12">SUMPRODUCT(--(ISTEXT(B12:F12)))</f>
        <v>2</v>
      </c>
      <c r="H12" s="1" t="s">
        <v>55</v>
      </c>
      <c r="J12" s="14"/>
      <c r="N12" s="20"/>
    </row>
    <row r="13" spans="1:23" ht="32.450000000000003" customHeight="1" thickBot="1">
      <c r="A13" s="25" t="s">
        <v>10</v>
      </c>
      <c r="B13" s="1"/>
      <c r="C13" s="1"/>
      <c r="D13" s="1"/>
      <c r="E13" s="1"/>
      <c r="F13" s="1"/>
      <c r="G13" s="1" cm="1">
        <f t="array" ref="G13">SUMPRODUCT(--(ISTEXT(B13:F13)))</f>
        <v>0</v>
      </c>
      <c r="H13" s="1"/>
      <c r="J13" s="15"/>
      <c r="K13" s="16"/>
      <c r="L13" s="16"/>
      <c r="M13" s="16"/>
      <c r="N13" s="17"/>
    </row>
    <row r="14" spans="1:23" ht="32.450000000000003" customHeight="1" thickTop="1">
      <c r="A14" s="25" t="s">
        <v>11</v>
      </c>
      <c r="B14" s="1"/>
      <c r="C14" s="1" t="s">
        <v>47</v>
      </c>
      <c r="D14" s="1"/>
      <c r="E14" s="1"/>
      <c r="F14" s="1"/>
      <c r="G14" s="1" cm="1">
        <f t="array" ref="G14">SUMPRODUCT(--(ISTEXT(B14:F14)))</f>
        <v>1</v>
      </c>
      <c r="H14" s="1"/>
    </row>
    <row r="15" spans="1:23" ht="32.450000000000003" customHeight="1">
      <c r="A15" s="25" t="s">
        <v>12</v>
      </c>
      <c r="B15" s="1"/>
      <c r="C15" s="1"/>
      <c r="D15" s="1"/>
      <c r="E15" s="29" t="s">
        <v>49</v>
      </c>
      <c r="F15" s="1" t="s">
        <v>51</v>
      </c>
      <c r="G15" s="1" cm="1">
        <f t="array" ref="G15">SUMPRODUCT(--(ISTEXT(B15:F15)))</f>
        <v>2</v>
      </c>
      <c r="H15" s="29" t="s">
        <v>49</v>
      </c>
    </row>
    <row r="16" spans="1:23" ht="32.450000000000003" customHeight="1">
      <c r="A16" s="25" t="s">
        <v>13</v>
      </c>
      <c r="B16" s="1" t="s">
        <v>45</v>
      </c>
      <c r="C16" s="1"/>
      <c r="D16" s="1"/>
      <c r="E16" s="1"/>
      <c r="F16" s="1"/>
      <c r="G16" s="1" cm="1">
        <f t="array" ref="G16">SUMPRODUCT(--(ISTEXT(B16:F16)))</f>
        <v>1</v>
      </c>
      <c r="H16" s="1"/>
    </row>
  </sheetData>
  <mergeCells count="4">
    <mergeCell ref="K5:M5"/>
    <mergeCell ref="J3:J5"/>
    <mergeCell ref="N3:N5"/>
    <mergeCell ref="J2:N2"/>
  </mergeCells>
  <phoneticPr fontId="1" type="noConversion"/>
  <conditionalFormatting sqref="P2:P1048576">
    <cfRule type="containsText" dxfId="60" priority="13" operator="containsText" text="MSCI">
      <formula>NOT(ISERROR(SEARCH("MSCI",P2)))</formula>
    </cfRule>
    <cfRule type="containsText" dxfId="59" priority="14" operator="containsText" text="Physics">
      <formula>NOT(ISERROR(SEARCH("Physics",P2)))</formula>
    </cfRule>
  </conditionalFormatting>
  <conditionalFormatting sqref="P1">
    <cfRule type="containsText" dxfId="58" priority="11" operator="containsText" text="MSCI">
      <formula>NOT(ISERROR(SEARCH("MSCI",P1)))</formula>
    </cfRule>
    <cfRule type="containsText" dxfId="57" priority="12" operator="containsText" text="Physics">
      <formula>NOT(ISERROR(SEARCH("Physics",P1)))</formula>
    </cfRule>
  </conditionalFormatting>
  <conditionalFormatting sqref="R1:R1048576">
    <cfRule type="containsText" dxfId="56" priority="4" operator="containsText" text="High">
      <formula>NOT(ISERROR(SEARCH("High",R1)))</formula>
    </cfRule>
    <cfRule type="containsText" dxfId="55" priority="8" operator="containsText" text="Low">
      <formula>NOT(ISERROR(SEARCH("Low",R1)))</formula>
    </cfRule>
    <cfRule type="containsText" dxfId="54" priority="9" operator="containsText" text="Medium">
      <formula>NOT(ISERROR(SEARCH("Medium",R1)))</formula>
    </cfRule>
    <cfRule type="containsText" dxfId="53" priority="10" operator="containsText" text="High">
      <formula>NOT(ISERROR(SEARCH("High",R1)))</formula>
    </cfRule>
  </conditionalFormatting>
  <conditionalFormatting sqref="P1:P1048576">
    <cfRule type="containsText" dxfId="52" priority="5" operator="containsText" text="Chemistry">
      <formula>NOT(ISERROR(SEARCH("Chemistry",P1)))</formula>
    </cfRule>
    <cfRule type="containsText" dxfId="51" priority="6" operator="containsText" text="Math 116">
      <formula>NOT(ISERROR(SEARCH("Math 116",P1)))</formula>
    </cfRule>
    <cfRule type="containsText" dxfId="50" priority="7" operator="containsText" text="Math 115">
      <formula>NOT(ISERROR(SEARCH("Math 115",P1)))</formula>
    </cfRule>
  </conditionalFormatting>
  <conditionalFormatting sqref="W1:W1048576">
    <cfRule type="dataBar" priority="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{80E2999D-ED07-4342-A186-27A837F3AF41}</x14:id>
        </ext>
      </extLst>
    </cfRule>
  </conditionalFormatting>
  <pageMargins left="0.7" right="0.7" top="0.75" bottom="0.75" header="0.3" footer="0.3"/>
  <ignoredErrors>
    <ignoredError sqref="G2" calculatedColumn="1"/>
  </ignoredErrors>
  <drawing r:id="rId1"/>
  <legacyDrawing r:id="rId2"/>
  <controls>
    <mc:AlternateContent xmlns:mc="http://schemas.openxmlformats.org/markup-compatibility/2006">
      <mc:Choice Requires="x14">
        <control shapeId="7171" r:id="rId7" name="CommandButton1">
          <controlPr defaultSize="0" autoLine="0" r:id="rId8">
            <anchor moveWithCells="1">
              <from>
                <xdr:col>10</xdr:col>
                <xdr:colOff>12700</xdr:colOff>
                <xdr:row>2</xdr:row>
                <xdr:rowOff>19050</xdr:rowOff>
              </from>
              <to>
                <xdr:col>12</xdr:col>
                <xdr:colOff>590550</xdr:colOff>
                <xdr:row>3</xdr:row>
                <xdr:rowOff>393700</xdr:rowOff>
              </to>
            </anchor>
          </controlPr>
        </control>
      </mc:Choice>
      <mc:Fallback>
        <control shapeId="7171" r:id="rId7" name="CommandButton1"/>
      </mc:Fallback>
    </mc:AlternateContent>
    <mc:AlternateContent xmlns:mc="http://schemas.openxmlformats.org/markup-compatibility/2006">
      <mc:Choice Requires="x14">
        <control shapeId="7173" r:id="rId5" name="CommandButton2">
          <controlPr defaultSize="0" autoFill="0" autoLine="0" r:id="rId6">
            <anchor moveWithCells="1">
              <from>
                <xdr:col>10</xdr:col>
                <xdr:colOff>0</xdr:colOff>
                <xdr:row>5</xdr:row>
                <xdr:rowOff>381000</xdr:rowOff>
              </from>
              <to>
                <xdr:col>13</xdr:col>
                <xdr:colOff>12700</xdr:colOff>
                <xdr:row>6</xdr:row>
                <xdr:rowOff>400050</xdr:rowOff>
              </to>
            </anchor>
          </controlPr>
        </control>
      </mc:Choice>
      <mc:Fallback>
        <control shapeId="7173" r:id="rId5" name="CommandButton2"/>
      </mc:Fallback>
    </mc:AlternateContent>
    <mc:AlternateContent xmlns:mc="http://schemas.openxmlformats.org/markup-compatibility/2006">
      <mc:Choice Requires="x14">
        <control shapeId="7175" r:id="rId3" name="CommandButton3">
          <controlPr defaultSize="0" autoFill="0" autoLine="0" r:id="rId4">
            <anchor moveWithCells="1">
              <from>
                <xdr:col>10</xdr:col>
                <xdr:colOff>0</xdr:colOff>
                <xdr:row>7</xdr:row>
                <xdr:rowOff>6350</xdr:rowOff>
              </from>
              <to>
                <xdr:col>13</xdr:col>
                <xdr:colOff>12700</xdr:colOff>
                <xdr:row>8</xdr:row>
                <xdr:rowOff>38100</xdr:rowOff>
              </to>
            </anchor>
          </controlPr>
        </control>
      </mc:Choice>
      <mc:Fallback>
        <control shapeId="7175" r:id="rId3" name="CommandButton3"/>
      </mc:Fallback>
    </mc:AlternateContent>
    <mc:AlternateContent xmlns:mc="http://schemas.openxmlformats.org/markup-compatibility/2006">
      <mc:Choice Requires="x14">
        <control shapeId="7170" r:id="rId9" name="Button 2">
          <controlPr defaultSize="0" print="0" autoFill="0" autoPict="0" macro="[0]!ClearAssignmentTables">
            <anchor moveWithCells="1" sizeWithCells="1">
              <from>
                <xdr:col>10</xdr:col>
                <xdr:colOff>44450</xdr:colOff>
                <xdr:row>10</xdr:row>
                <xdr:rowOff>25400</xdr:rowOff>
              </from>
              <to>
                <xdr:col>12</xdr:col>
                <xdr:colOff>584200</xdr:colOff>
                <xdr:row>12</xdr:row>
                <xdr:rowOff>12700</xdr:rowOff>
              </to>
            </anchor>
          </controlPr>
        </control>
      </mc:Choice>
    </mc:AlternateContent>
  </controls>
  <tableParts count="2"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E2999D-ED07-4342-A186-27A837F3AF4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W1:W1048576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86E96-73C3-4457-846A-61A566E09182}">
  <sheetPr codeName="Sheet2"/>
  <dimension ref="A1:K6"/>
  <sheetViews>
    <sheetView zoomScale="70" workbookViewId="0">
      <selection activeCell="L5" sqref="L5"/>
    </sheetView>
  </sheetViews>
  <sheetFormatPr defaultRowHeight="14.45"/>
  <cols>
    <col min="1" max="1" width="32.140625" customWidth="1"/>
    <col min="2" max="8" width="15.28515625" customWidth="1"/>
    <col min="10" max="11" width="19.5703125" customWidth="1"/>
  </cols>
  <sheetData>
    <row r="1" spans="1:11" ht="47.45" customHeight="1">
      <c r="A1" s="2" t="s">
        <v>57</v>
      </c>
      <c r="B1" s="2" t="s">
        <v>58</v>
      </c>
      <c r="C1" s="2" t="s">
        <v>59</v>
      </c>
      <c r="D1" s="2" t="s">
        <v>60</v>
      </c>
      <c r="E1" s="2" t="s">
        <v>61</v>
      </c>
      <c r="F1" s="2" t="s">
        <v>62</v>
      </c>
      <c r="G1" s="2" t="s">
        <v>63</v>
      </c>
      <c r="H1" s="2" t="s">
        <v>64</v>
      </c>
      <c r="J1" s="1" t="s">
        <v>57</v>
      </c>
      <c r="K1" s="1" t="s">
        <v>65</v>
      </c>
    </row>
    <row r="2" spans="1:11" ht="21.6" customHeight="1">
      <c r="A2" s="1" t="s">
        <v>66</v>
      </c>
      <c r="B2" s="1">
        <v>1</v>
      </c>
      <c r="C2" s="1"/>
      <c r="D2" s="1"/>
      <c r="E2" s="1"/>
      <c r="F2" s="1"/>
      <c r="G2" s="1"/>
      <c r="H2" s="1"/>
      <c r="J2" s="1" t="s">
        <v>66</v>
      </c>
      <c r="K2" s="1">
        <f ca="1">SUMIF($A$2:$A$5, "Family Time", B2:H2)</f>
        <v>1</v>
      </c>
    </row>
    <row r="3" spans="1:11">
      <c r="A3" s="1" t="s">
        <v>67</v>
      </c>
      <c r="B3" s="1">
        <v>5</v>
      </c>
      <c r="C3" s="1"/>
      <c r="D3" s="1"/>
      <c r="E3" s="1"/>
      <c r="F3" s="1"/>
      <c r="G3" s="1"/>
      <c r="H3" s="1"/>
      <c r="J3" s="1" t="s">
        <v>68</v>
      </c>
      <c r="K3" s="1">
        <f ca="1">SUMIF($A$2:$A$5, "Movies", B3:H3)</f>
        <v>5</v>
      </c>
    </row>
    <row r="4" spans="1:11">
      <c r="A4" s="1" t="s">
        <v>67</v>
      </c>
      <c r="B4" s="1">
        <v>5</v>
      </c>
      <c r="C4" s="1"/>
      <c r="D4" s="1"/>
      <c r="E4" s="1"/>
      <c r="F4" s="1"/>
      <c r="G4" s="1"/>
      <c r="H4" s="1"/>
      <c r="J4" s="1" t="s">
        <v>69</v>
      </c>
      <c r="K4" s="1">
        <f ca="1">SUMIF($A$2:$A$5, "Watching", B4:H4)</f>
        <v>0</v>
      </c>
    </row>
    <row r="5" spans="1:11">
      <c r="J5" s="1" t="s">
        <v>70</v>
      </c>
      <c r="K5" s="1">
        <f ca="1">SUMIF($A$2:$A$5, "Shopping", B4:H4)</f>
        <v>0</v>
      </c>
    </row>
    <row r="6" spans="1:11">
      <c r="J6" s="36"/>
      <c r="K6" s="1"/>
    </row>
  </sheetData>
  <conditionalFormatting sqref="K1:K1048576">
    <cfRule type="cellIs" dxfId="30" priority="1" operator="greaterThan">
      <formula>20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8</xdr:col>
                <xdr:colOff>12700</xdr:colOff>
                <xdr:row>6</xdr:row>
                <xdr:rowOff>107950</xdr:rowOff>
              </from>
              <to>
                <xdr:col>10</xdr:col>
                <xdr:colOff>3175</xdr:colOff>
                <xdr:row>9</xdr:row>
                <xdr:rowOff>12700</xdr:rowOff>
              </to>
            </anchor>
          </controlPr>
        </control>
      </mc:Choice>
      <mc:Fallback>
        <control shapeId="3073" r:id="rId5" name="CommandButton1"/>
      </mc:Fallback>
    </mc:AlternateContent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8</xdr:col>
                <xdr:colOff>31750</xdr:colOff>
                <xdr:row>10</xdr:row>
                <xdr:rowOff>50800</xdr:rowOff>
              </from>
              <to>
                <xdr:col>9</xdr:col>
                <xdr:colOff>1289050</xdr:colOff>
                <xdr:row>12</xdr:row>
                <xdr:rowOff>152400</xdr:rowOff>
              </to>
            </anchor>
          </controlPr>
        </control>
      </mc:Choice>
      <mc:Fallback>
        <control shapeId="3074" r:id="rId3" name="CommandButton2"/>
      </mc:Fallback>
    </mc:AlternateContent>
  </controls>
  <tableParts count="2">
    <tablePart r:id="rId7"/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19471-80E0-4C2A-9ADE-547B0B241152}">
  <sheetPr codeName="Sheet3"/>
  <dimension ref="A1:K5"/>
  <sheetViews>
    <sheetView workbookViewId="0">
      <selection activeCell="L2" sqref="L2"/>
    </sheetView>
  </sheetViews>
  <sheetFormatPr defaultRowHeight="14.45"/>
  <cols>
    <col min="1" max="1" width="30.140625" customWidth="1"/>
    <col min="2" max="2" width="14.85546875" customWidth="1"/>
    <col min="3" max="3" width="14.5703125" customWidth="1"/>
    <col min="4" max="4" width="16.5703125" customWidth="1"/>
    <col min="5" max="5" width="14.140625" customWidth="1"/>
    <col min="6" max="6" width="15.5703125" customWidth="1"/>
    <col min="7" max="8" width="13.85546875" customWidth="1"/>
    <col min="10" max="11" width="13.140625" customWidth="1"/>
  </cols>
  <sheetData>
    <row r="1" spans="1:11" ht="33" customHeight="1">
      <c r="A1" s="4" t="s">
        <v>71</v>
      </c>
      <c r="B1" s="3" t="s">
        <v>58</v>
      </c>
      <c r="C1" s="3" t="s">
        <v>59</v>
      </c>
      <c r="D1" s="3" t="s">
        <v>60</v>
      </c>
      <c r="E1" s="3" t="s">
        <v>61</v>
      </c>
      <c r="F1" s="3" t="s">
        <v>62</v>
      </c>
      <c r="G1" s="3" t="s">
        <v>63</v>
      </c>
      <c r="H1" s="3" t="s">
        <v>64</v>
      </c>
      <c r="J1" s="1" t="s">
        <v>57</v>
      </c>
      <c r="K1" s="1" t="s">
        <v>65</v>
      </c>
    </row>
    <row r="2" spans="1:11">
      <c r="A2" t="s">
        <v>72</v>
      </c>
      <c r="B2">
        <f ca="1">SUM($B$2:$B$6)</f>
        <v>0</v>
      </c>
      <c r="C2">
        <f t="shared" ref="C2:C5" ca="1" si="0">SUM($C$2:$C$6)</f>
        <v>0</v>
      </c>
      <c r="D2">
        <f t="shared" ref="D2:D5" ca="1" si="1">SUM($D$2:$D$6)</f>
        <v>0</v>
      </c>
      <c r="E2">
        <f ca="1">SUM($E$2:$E$6)</f>
        <v>0</v>
      </c>
      <c r="F2">
        <f t="shared" ref="F2:F5" ca="1" si="2">SUM($F$2:$F$6)</f>
        <v>0</v>
      </c>
      <c r="G2">
        <f t="shared" ref="G2:G5" ca="1" si="3">SUM($G$2:$G$6)</f>
        <v>0</v>
      </c>
      <c r="H2">
        <f t="shared" ref="H2:H5" ca="1" si="4">SUM($H$2:$H$6)</f>
        <v>0</v>
      </c>
      <c r="J2" s="1" t="s">
        <v>73</v>
      </c>
      <c r="K2" s="1">
        <f t="shared" ref="K2" ca="1" si="5">SUMIF($A$2:$A$5, "School", B4:H4)</f>
        <v>0</v>
      </c>
    </row>
    <row r="3" spans="1:11">
      <c r="A3" t="s">
        <v>72</v>
      </c>
      <c r="B3">
        <v>2</v>
      </c>
      <c r="C3">
        <f t="shared" ca="1" si="0"/>
        <v>0</v>
      </c>
      <c r="D3">
        <f t="shared" ca="1" si="1"/>
        <v>0</v>
      </c>
      <c r="E3">
        <f t="shared" ref="E3:E4" ca="1" si="6">SUM($E$2:$E$5)</f>
        <v>0</v>
      </c>
      <c r="F3">
        <f t="shared" ca="1" si="2"/>
        <v>0</v>
      </c>
      <c r="G3">
        <f t="shared" ca="1" si="3"/>
        <v>0</v>
      </c>
      <c r="H3">
        <f t="shared" ca="1" si="4"/>
        <v>0</v>
      </c>
      <c r="J3" s="1" t="s">
        <v>72</v>
      </c>
      <c r="K3" s="1">
        <f ca="1">SUMIF($A$2:$A$5, "Work", B4:H4)</f>
        <v>1</v>
      </c>
    </row>
    <row r="4" spans="1:11">
      <c r="A4" t="s">
        <v>72</v>
      </c>
      <c r="B4">
        <v>1</v>
      </c>
      <c r="C4">
        <f t="shared" ca="1" si="0"/>
        <v>0</v>
      </c>
      <c r="D4">
        <f t="shared" ca="1" si="1"/>
        <v>0</v>
      </c>
      <c r="E4">
        <f t="shared" ca="1" si="6"/>
        <v>0</v>
      </c>
      <c r="F4">
        <f t="shared" ca="1" si="2"/>
        <v>0</v>
      </c>
      <c r="G4">
        <f t="shared" ca="1" si="3"/>
        <v>0</v>
      </c>
      <c r="H4">
        <f t="shared" ca="1" si="4"/>
        <v>0</v>
      </c>
      <c r="J4" s="1" t="s">
        <v>74</v>
      </c>
      <c r="K4" s="1">
        <f ca="1">SUMIF($A$2:$A$5, "Home", B6:H6)</f>
        <v>0</v>
      </c>
    </row>
    <row r="5" spans="1:11">
      <c r="A5" t="s">
        <v>74</v>
      </c>
      <c r="C5">
        <f t="shared" ca="1" si="0"/>
        <v>0</v>
      </c>
      <c r="D5">
        <f t="shared" ca="1" si="1"/>
        <v>0</v>
      </c>
      <c r="E5">
        <v>1</v>
      </c>
      <c r="F5">
        <f t="shared" ca="1" si="2"/>
        <v>0</v>
      </c>
      <c r="G5">
        <f t="shared" ca="1" si="3"/>
        <v>0</v>
      </c>
      <c r="H5">
        <f t="shared" ca="1" si="4"/>
        <v>0</v>
      </c>
      <c r="J5" s="1" t="s">
        <v>75</v>
      </c>
      <c r="K5" s="1">
        <f ca="1">SUMIF($A$2:$A$5, "Gym", B4:H4)</f>
        <v>0</v>
      </c>
    </row>
  </sheetData>
  <phoneticPr fontId="1" type="noConversion"/>
  <conditionalFormatting sqref="K1:K1048576">
    <cfRule type="cellIs" dxfId="13" priority="1" operator="greaterThan">
      <formula>20</formula>
    </cfRule>
  </conditionalFormatting>
  <pageMargins left="0.7" right="0.7" top="0.75" bottom="0.75" header="0.3" footer="0.3"/>
  <ignoredErrors>
    <ignoredError sqref="E2" calculatedColumn="1"/>
  </ignoredErrors>
  <drawing r:id="rId1"/>
  <legacyDrawing r:id="rId2"/>
  <controls>
    <mc:AlternateContent xmlns:mc="http://schemas.openxmlformats.org/markup-compatibility/2006">
      <mc:Choice Requires="x14">
        <control shapeId="2050" r:id="rId5" name="CommandButton1">
          <controlPr defaultSize="0" autoLine="0" r:id="rId6">
            <anchor moveWithCells="1">
              <from>
                <xdr:col>8</xdr:col>
                <xdr:colOff>584200</xdr:colOff>
                <xdr:row>6</xdr:row>
                <xdr:rowOff>0</xdr:rowOff>
              </from>
              <to>
                <xdr:col>11</xdr:col>
                <xdr:colOff>50800</xdr:colOff>
                <xdr:row>8</xdr:row>
                <xdr:rowOff>88900</xdr:rowOff>
              </to>
            </anchor>
          </controlPr>
        </control>
      </mc:Choice>
      <mc:Fallback>
        <control shapeId="2050" r:id="rId5" name="CommandButton1"/>
      </mc:Fallback>
    </mc:AlternateContent>
    <mc:AlternateContent xmlns:mc="http://schemas.openxmlformats.org/markup-compatibility/2006">
      <mc:Choice Requires="x14">
        <control shapeId="2052" r:id="rId3" name="CommandButton2">
          <controlPr defaultSize="0" autoLine="0" r:id="rId4">
            <anchor moveWithCells="1">
              <from>
                <xdr:col>9</xdr:col>
                <xdr:colOff>0</xdr:colOff>
                <xdr:row>9</xdr:row>
                <xdr:rowOff>127000</xdr:rowOff>
              </from>
              <to>
                <xdr:col>11</xdr:col>
                <xdr:colOff>38100</xdr:colOff>
                <xdr:row>12</xdr:row>
                <xdr:rowOff>50800</xdr:rowOff>
              </to>
            </anchor>
          </controlPr>
        </control>
      </mc:Choice>
      <mc:Fallback>
        <control shapeId="2052" r:id="rId3" name="CommandButton2"/>
      </mc:Fallback>
    </mc:AlternateContent>
  </controls>
  <tableParts count="2"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7e485db-5563-40e3-bc54-931fa13a47b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689B2575E05441ABD549A726B8BEC2" ma:contentTypeVersion="7" ma:contentTypeDescription="Create a new document." ma:contentTypeScope="" ma:versionID="b810a06afdbd8bfd40312646dc622343">
  <xsd:schema xmlns:xsd="http://www.w3.org/2001/XMLSchema" xmlns:xs="http://www.w3.org/2001/XMLSchema" xmlns:p="http://schemas.microsoft.com/office/2006/metadata/properties" xmlns:ns3="17e485db-5563-40e3-bc54-931fa13a47b5" xmlns:ns4="ee517860-1151-4585-95cf-1456ba3df2d6" targetNamespace="http://schemas.microsoft.com/office/2006/metadata/properties" ma:root="true" ma:fieldsID="6b8dc94e107bd8c939c8c1aca7dec8fd" ns3:_="" ns4:_="">
    <xsd:import namespace="17e485db-5563-40e3-bc54-931fa13a47b5"/>
    <xsd:import namespace="ee517860-1151-4585-95cf-1456ba3df2d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e485db-5563-40e3-bc54-931fa13a47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517860-1151-4585-95cf-1456ba3df2d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E7FFC89-8FB6-4763-AD74-20CF51EE83D8}"/>
</file>

<file path=customXml/itemProps2.xml><?xml version="1.0" encoding="utf-8"?>
<ds:datastoreItem xmlns:ds="http://schemas.openxmlformats.org/officeDocument/2006/customXml" ds:itemID="{8A33FEC4-7F01-4584-9759-5BF20611D4E2}"/>
</file>

<file path=customXml/itemProps3.xml><?xml version="1.0" encoding="utf-8"?>
<ds:datastoreItem xmlns:ds="http://schemas.openxmlformats.org/officeDocument/2006/customXml" ds:itemID="{4391850D-E770-4A24-B85D-1990005DF65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Mai Khaial</dc:creator>
  <cp:keywords/>
  <dc:description/>
  <cp:lastModifiedBy/>
  <cp:revision/>
  <dcterms:created xsi:type="dcterms:W3CDTF">2023-11-21T02:21:31Z</dcterms:created>
  <dcterms:modified xsi:type="dcterms:W3CDTF">2024-01-07T06:44:29Z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0x010100B9689B2575E05441ABD549A726B8BEC2</vt:lpwstr>
  </property>
</Properties>
</file>